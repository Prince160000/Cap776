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b val="1"/>
      <color theme="1"/>
      <sz val="11"/>
    </font>
    <font>
      <name val="Arial"/>
      <color rgb="FF0000FF"/>
      <sz val="11"/>
    </font>
    <font/>
    <font>
      <name val="Arial"/>
      <i val="1"/>
      <color theme="1"/>
      <sz val="9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1F3864"/>
      <sz val="14"/>
    </font>
    <font>
      <name val="Arial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4" fillId="0" borderId="3" pivotButton="0" quotePrefix="0" xfId="0"/>
    <xf numFmtId="0" fontId="3" fillId="2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6" fillId="3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bottom"/>
    </xf>
    <xf numFmtId="0" fontId="7" fillId="4" borderId="4" applyAlignment="1" pivotButton="0" quotePrefix="0" xfId="0">
      <alignment horizontal="center" vertical="bottom"/>
    </xf>
    <xf numFmtId="0" fontId="3" fillId="2" borderId="4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6" fillId="3" borderId="4" applyAlignment="1" pivotButton="0" quotePrefix="0" xfId="0">
      <alignment horizontal="center" vertical="bottom" wrapText="1"/>
    </xf>
    <xf numFmtId="0" fontId="9" fillId="0" borderId="4" applyAlignment="1" pivotButton="0" quotePrefix="0" xfId="0">
      <alignment horizontal="center" vertical="bottom"/>
    </xf>
    <xf numFmtId="0" fontId="10" fillId="0" borderId="0" pivotButton="0" quotePrefix="0" xfId="0"/>
    <xf numFmtId="0" fontId="2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0" fontId="3" fillId="2" borderId="4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Satisfaction &amp; Energy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Satisfaction (1-10)</v>
          </tx>
          <spPr>
            <a:ln xmlns:a="http://schemas.openxmlformats.org/drawingml/2006/main"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Tracker!$A$9:$A$56</f>
            </strRef>
          </cat>
          <val>
            <numRef>
              <f>Tracker!$J$9:$J$56</f>
              <numCache/>
            </numRef>
          </val>
          <smooth val="1"/>
        </ser>
        <ser>
          <idx val="1"/>
          <order val="1"/>
          <tx>
            <v>Energy Level (1-10)</v>
          </tx>
          <spPr>
            <a:ln xmlns:a="http://schemas.openxmlformats.org/drawingml/2006/main" w="1905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Tracker!$A$9:$A$56</f>
            </strRef>
          </cat>
          <val>
            <numRef>
              <f>Tracker!$K$9:$K$56</f>
              <numCache/>
            </numRef>
          </val>
          <smooth val="1"/>
        </ser>
        <axId val="544990937"/>
        <axId val="738134087"/>
      </lineChart>
      <catAx>
        <axId val="54499093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dd/mm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8134087"/>
        <lblOffset val="100"/>
      </catAx>
      <valAx>
        <axId val="738134087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4499093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152400</rowOff>
    </from>
    <ext cx="7505700" cy="3019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8" defaultColWidth="14.43" defaultRowHeight="15" customHeight="1" outlineLevelCol="0"/>
  <cols>
    <col width="12" customWidth="1" style="20" min="1" max="1"/>
    <col width="7" customWidth="1" style="20" min="2" max="2"/>
    <col width="11" customWidth="1" style="20" min="3" max="8"/>
    <col width="14" customWidth="1" style="20" min="9" max="9"/>
    <col width="13" customWidth="1" style="20" min="10" max="12"/>
    <col width="12" customWidth="1" style="20" min="13" max="14"/>
    <col width="8.710000000000001" customWidth="1" style="20" min="15" max="26"/>
  </cols>
  <sheetData>
    <row r="1">
      <c r="A1" s="1" t="inlineStr">
        <is>
          <t>My Data, My Code - Daily Activity Tracker</t>
        </is>
      </c>
    </row>
    <row r="2">
      <c r="A2" s="8" t="inlineStr">
        <is>
          <t>Name</t>
        </is>
      </c>
      <c r="B2" s="21" t="inlineStr">
        <is>
          <t>Prince</t>
        </is>
      </c>
      <c r="C2" s="22" t="n"/>
      <c r="D2" s="23" t="n"/>
      <c r="F2" s="8" t="n"/>
    </row>
    <row r="3">
      <c r="A3" s="8" t="inlineStr">
        <is>
          <t>Registration No.</t>
        </is>
      </c>
      <c r="B3" s="21" t="n">
        <v>12618091</v>
      </c>
      <c r="C3" s="22" t="n"/>
      <c r="D3" s="23" t="n"/>
      <c r="F3" s="7" t="n"/>
      <c r="G3" s="7" t="n"/>
      <c r="H3" s="7" t="n"/>
      <c r="I3" s="7" t="n"/>
      <c r="J3" s="7" t="n"/>
    </row>
    <row r="4">
      <c r="A4" s="8" t="inlineStr">
        <is>
          <t>Course</t>
        </is>
      </c>
      <c r="B4" s="21" t="inlineStr">
        <is>
          <t>D2301</t>
        </is>
      </c>
      <c r="C4" s="22" t="n"/>
      <c r="D4" s="23" t="n"/>
      <c r="F4" s="7" t="n"/>
    </row>
    <row r="5">
      <c r="A5" s="8" t="inlineStr">
        <is>
          <t>Month</t>
        </is>
      </c>
      <c r="B5" s="21" t="inlineStr">
        <is>
          <t>August - October 2026</t>
        </is>
      </c>
      <c r="C5" s="22" t="n"/>
      <c r="D5" s="23" t="n"/>
      <c r="F5" s="7" t="n"/>
    </row>
    <row r="8" ht="33.75" customHeight="1" s="20">
      <c r="A8" s="9" t="inlineStr">
        <is>
          <t>Date</t>
        </is>
      </c>
      <c r="B8" s="9" t="inlineStr">
        <is>
          <t>Day</t>
        </is>
      </c>
      <c r="C8" s="9" t="inlineStr">
        <is>
          <t>Month</t>
        </is>
      </c>
      <c r="D8" s="9" t="inlineStr">
        <is>
          <t>Sleep (min)</t>
        </is>
      </c>
      <c r="E8" s="9" t="inlineStr">
        <is>
          <t>Fitness (min)</t>
        </is>
      </c>
      <c r="F8" s="9" t="inlineStr">
        <is>
          <t>Study (min)</t>
        </is>
      </c>
      <c r="G8" s="9" t="inlineStr">
        <is>
          <t>Coding (min)</t>
        </is>
      </c>
      <c r="H8" s="9" t="inlineStr">
        <is>
          <t>Classes (min)</t>
        </is>
      </c>
      <c r="I8" s="9" t="inlineStr">
        <is>
          <t>Other Activities (min)</t>
        </is>
      </c>
      <c r="J8" s="9" t="inlineStr">
        <is>
          <t>Satisfaction (1-10)</t>
        </is>
      </c>
      <c r="K8" s="9" t="inlineStr">
        <is>
          <t>Energy Level (1-10)</t>
        </is>
      </c>
      <c r="L8" s="9" t="inlineStr">
        <is>
          <t>Total Logged (min)</t>
        </is>
      </c>
      <c r="M8" s="9" t="inlineStr">
        <is>
          <t>Unlogged (min)</t>
        </is>
      </c>
      <c r="N8" s="9" t="inlineStr">
        <is>
          <t>Total Logged (hrs)</t>
        </is>
      </c>
    </row>
    <row r="9">
      <c r="A9" s="10" t="n">
        <v>46251</v>
      </c>
      <c r="B9" s="11">
        <f>TEXT(A9,"ddd")</f>
        <v/>
      </c>
      <c r="C9" s="11">
        <f>TEXT(A9,"mmmm")</f>
        <v/>
      </c>
      <c r="D9" s="12" t="n">
        <v>380</v>
      </c>
      <c r="E9" s="12" t="n">
        <v>45</v>
      </c>
      <c r="F9" s="12" t="n">
        <v>168</v>
      </c>
      <c r="G9" s="12" t="n">
        <v>176</v>
      </c>
      <c r="H9" s="12" t="n">
        <v>240</v>
      </c>
      <c r="I9" s="12" t="n">
        <v>117</v>
      </c>
      <c r="J9" s="12" t="n">
        <v>7</v>
      </c>
      <c r="K9" s="12" t="n">
        <v>5</v>
      </c>
      <c r="L9" s="11">
        <f>SUM(D9:I9)</f>
        <v/>
      </c>
      <c r="M9" s="11">
        <f>1440-L9</f>
        <v/>
      </c>
      <c r="N9" s="11">
        <f>ROUND(L9/60,1)</f>
        <v/>
      </c>
    </row>
    <row r="10">
      <c r="A10" s="10" t="n">
        <v>46252</v>
      </c>
      <c r="B10" s="11">
        <f>TEXT(A10,"ddd")</f>
        <v/>
      </c>
      <c r="C10" s="11">
        <f>TEXT(A10,"mmmm")</f>
        <v/>
      </c>
      <c r="D10" s="12" t="n">
        <v>457</v>
      </c>
      <c r="E10" s="12" t="n">
        <v>60</v>
      </c>
      <c r="F10" s="12" t="n">
        <v>190</v>
      </c>
      <c r="G10" s="12" t="n">
        <v>157</v>
      </c>
      <c r="H10" s="12" t="n">
        <v>270</v>
      </c>
      <c r="I10" s="12" t="n">
        <v>60</v>
      </c>
      <c r="J10" s="12" t="n">
        <v>7</v>
      </c>
      <c r="K10" s="12" t="n">
        <v>5</v>
      </c>
      <c r="L10" s="11">
        <f>SUM(D10:I10)</f>
        <v/>
      </c>
      <c r="M10" s="11">
        <f>1440-L10</f>
        <v/>
      </c>
      <c r="N10" s="11">
        <f>ROUND(L10/60,1)</f>
        <v/>
      </c>
    </row>
    <row r="11">
      <c r="A11" s="10" t="n">
        <v>46253</v>
      </c>
      <c r="B11" s="11">
        <f>TEXT(A11,"ddd")</f>
        <v/>
      </c>
      <c r="C11" s="11">
        <f>TEXT(A11,"mmmm")</f>
        <v/>
      </c>
      <c r="D11" s="12" t="n">
        <v>375</v>
      </c>
      <c r="E11" s="12" t="n">
        <v>60</v>
      </c>
      <c r="F11" s="12" t="n">
        <v>42</v>
      </c>
      <c r="G11" s="12" t="n">
        <v>170</v>
      </c>
      <c r="H11" s="12" t="n">
        <v>300</v>
      </c>
      <c r="I11" s="12" t="n">
        <v>113</v>
      </c>
      <c r="J11" s="12" t="n">
        <v>5</v>
      </c>
      <c r="K11" s="12" t="n">
        <v>4</v>
      </c>
      <c r="L11" s="11">
        <f>SUM(D11:I11)</f>
        <v/>
      </c>
      <c r="M11" s="11">
        <f>1440-L11</f>
        <v/>
      </c>
      <c r="N11" s="11">
        <f>ROUND(L11/60,1)</f>
        <v/>
      </c>
    </row>
    <row r="12">
      <c r="A12" s="10" t="n">
        <v>46254</v>
      </c>
      <c r="B12" s="11">
        <f>TEXT(A12,"ddd")</f>
        <v/>
      </c>
      <c r="C12" s="11">
        <f>TEXT(A12,"mmmm")</f>
        <v/>
      </c>
      <c r="D12" s="12" t="n">
        <v>441</v>
      </c>
      <c r="E12" s="12" t="n">
        <v>45</v>
      </c>
      <c r="F12" s="12" t="n">
        <v>171</v>
      </c>
      <c r="G12" s="12" t="n">
        <v>208</v>
      </c>
      <c r="H12" s="12" t="n">
        <v>240</v>
      </c>
      <c r="I12" s="12" t="n">
        <v>245</v>
      </c>
      <c r="J12" s="12" t="n">
        <v>6</v>
      </c>
      <c r="K12" s="12" t="n">
        <v>6</v>
      </c>
      <c r="L12" s="11">
        <f>SUM(D12:I12)</f>
        <v/>
      </c>
      <c r="M12" s="11">
        <f>1440-L12</f>
        <v/>
      </c>
      <c r="N12" s="11">
        <f>ROUND(L12/60,1)</f>
        <v/>
      </c>
    </row>
    <row r="13">
      <c r="A13" s="10" t="n">
        <v>46255</v>
      </c>
      <c r="B13" s="11">
        <f>TEXT(A13,"ddd")</f>
        <v/>
      </c>
      <c r="C13" s="11">
        <f>TEXT(A13,"mmmm")</f>
        <v/>
      </c>
      <c r="D13" s="12" t="n">
        <v>424</v>
      </c>
      <c r="E13" s="12" t="n">
        <v>30</v>
      </c>
      <c r="F13" s="12" t="n">
        <v>157</v>
      </c>
      <c r="G13" s="12" t="n">
        <v>81</v>
      </c>
      <c r="H13" s="12" t="n">
        <v>360</v>
      </c>
      <c r="I13" s="12" t="n">
        <v>139</v>
      </c>
      <c r="J13" s="12" t="n">
        <v>4</v>
      </c>
      <c r="K13" s="12" t="n">
        <v>6</v>
      </c>
      <c r="L13" s="11">
        <f>SUM(D13:I13)</f>
        <v/>
      </c>
      <c r="M13" s="11">
        <f>1440-L13</f>
        <v/>
      </c>
      <c r="N13" s="11">
        <f>ROUND(L13/60,1)</f>
        <v/>
      </c>
    </row>
    <row r="14">
      <c r="A14" s="10" t="n">
        <v>46256</v>
      </c>
      <c r="B14" s="11">
        <f>TEXT(A14,"ddd")</f>
        <v/>
      </c>
      <c r="C14" s="11">
        <f>TEXT(A14,"mmmm")</f>
        <v/>
      </c>
      <c r="D14" s="12" t="n">
        <v>443</v>
      </c>
      <c r="E14" s="12" t="n">
        <v>60</v>
      </c>
      <c r="F14" s="12" t="n">
        <v>148</v>
      </c>
      <c r="G14" s="12" t="n">
        <v>68</v>
      </c>
      <c r="H14" s="12" t="n">
        <v>180</v>
      </c>
      <c r="I14" s="12" t="n">
        <v>209</v>
      </c>
      <c r="J14" s="12" t="n">
        <v>7</v>
      </c>
      <c r="K14" s="12" t="n">
        <v>7</v>
      </c>
      <c r="L14" s="11">
        <f>SUM(D14:I14)</f>
        <v/>
      </c>
      <c r="M14" s="11">
        <f>1440-L14</f>
        <v/>
      </c>
      <c r="N14" s="11">
        <f>ROUND(L14/60,1)</f>
        <v/>
      </c>
    </row>
    <row r="15">
      <c r="A15" s="10" t="n">
        <v>46257</v>
      </c>
      <c r="B15" s="11">
        <f>TEXT(A15,"ddd")</f>
        <v/>
      </c>
      <c r="C15" s="11">
        <f>TEXT(A15,"mmmm")</f>
        <v/>
      </c>
      <c r="D15" s="12" t="n">
        <v>458</v>
      </c>
      <c r="E15" s="12" t="n">
        <v>75</v>
      </c>
      <c r="F15" s="12" t="n">
        <v>102</v>
      </c>
      <c r="G15" s="12" t="n">
        <v>125</v>
      </c>
      <c r="H15" s="12" t="n">
        <v>0</v>
      </c>
      <c r="I15" s="12" t="n">
        <v>161</v>
      </c>
      <c r="J15" s="12" t="n">
        <v>8</v>
      </c>
      <c r="K15" s="12" t="n">
        <v>6</v>
      </c>
      <c r="L15" s="11">
        <f>SUM(D15:I15)</f>
        <v/>
      </c>
      <c r="M15" s="11">
        <f>1440-L15</f>
        <v/>
      </c>
      <c r="N15" s="11">
        <f>ROUND(L15/60,1)</f>
        <v/>
      </c>
    </row>
    <row r="16">
      <c r="A16" s="10" t="n">
        <v>46258</v>
      </c>
      <c r="B16" s="11">
        <f>TEXT(A16,"ddd")</f>
        <v/>
      </c>
      <c r="C16" s="11">
        <f>TEXT(A16,"mmmm")</f>
        <v/>
      </c>
      <c r="D16" s="12" t="n">
        <v>457</v>
      </c>
      <c r="E16" s="12" t="n">
        <v>60</v>
      </c>
      <c r="F16" s="12" t="n">
        <v>171</v>
      </c>
      <c r="G16" s="12" t="n">
        <v>177</v>
      </c>
      <c r="H16" s="12" t="n">
        <v>240</v>
      </c>
      <c r="I16" s="12" t="n">
        <v>207</v>
      </c>
      <c r="J16" s="12" t="n">
        <v>6</v>
      </c>
      <c r="K16" s="12" t="n">
        <v>5</v>
      </c>
      <c r="L16" s="11">
        <f>SUM(D16:I16)</f>
        <v/>
      </c>
      <c r="M16" s="11">
        <f>1440-L16</f>
        <v/>
      </c>
      <c r="N16" s="11">
        <f>ROUND(L16/60,1)</f>
        <v/>
      </c>
    </row>
    <row r="17">
      <c r="A17" s="10" t="n">
        <v>46259</v>
      </c>
      <c r="B17" s="11">
        <f>TEXT(A17,"ddd")</f>
        <v/>
      </c>
      <c r="C17" s="11">
        <f>TEXT(A17,"mmmm")</f>
        <v/>
      </c>
      <c r="D17" s="12" t="n">
        <v>362</v>
      </c>
      <c r="E17" s="12" t="n">
        <v>0</v>
      </c>
      <c r="F17" s="12" t="n">
        <v>199</v>
      </c>
      <c r="G17" s="12" t="n">
        <v>154</v>
      </c>
      <c r="H17" s="12" t="n">
        <v>330</v>
      </c>
      <c r="I17" s="12" t="n">
        <v>96</v>
      </c>
      <c r="J17" s="12" t="n">
        <v>4</v>
      </c>
      <c r="K17" s="12" t="n">
        <v>3</v>
      </c>
      <c r="L17" s="11">
        <f>SUM(D17:I17)</f>
        <v/>
      </c>
      <c r="M17" s="11">
        <f>1440-L17</f>
        <v/>
      </c>
      <c r="N17" s="11">
        <f>ROUND(L17/60,1)</f>
        <v/>
      </c>
    </row>
    <row r="18">
      <c r="A18" s="10" t="n">
        <v>46260</v>
      </c>
      <c r="B18" s="11">
        <f>TEXT(A18,"ddd")</f>
        <v/>
      </c>
      <c r="C18" s="11">
        <f>TEXT(A18,"mmmm")</f>
        <v/>
      </c>
      <c r="D18" s="12" t="n">
        <v>381</v>
      </c>
      <c r="E18" s="12" t="n">
        <v>60</v>
      </c>
      <c r="F18" s="12" t="n">
        <v>160</v>
      </c>
      <c r="G18" s="12" t="n">
        <v>184</v>
      </c>
      <c r="H18" s="12" t="n">
        <v>300</v>
      </c>
      <c r="I18" s="12" t="n">
        <v>203</v>
      </c>
      <c r="J18" s="12" t="n">
        <v>5</v>
      </c>
      <c r="K18" s="12" t="n">
        <v>6</v>
      </c>
      <c r="L18" s="11">
        <f>SUM(D18:I18)</f>
        <v/>
      </c>
      <c r="M18" s="11">
        <f>1440-L18</f>
        <v/>
      </c>
      <c r="N18" s="11">
        <f>ROUND(L18/60,1)</f>
        <v/>
      </c>
    </row>
    <row r="19">
      <c r="A19" s="10" t="n">
        <v>46261</v>
      </c>
      <c r="B19" s="11">
        <f>TEXT(A19,"ddd")</f>
        <v/>
      </c>
      <c r="C19" s="11">
        <f>TEXT(A19,"mmmm")</f>
        <v/>
      </c>
      <c r="D19" s="12" t="n">
        <v>490</v>
      </c>
      <c r="E19" s="12" t="n">
        <v>60</v>
      </c>
      <c r="F19" s="12" t="n">
        <v>142</v>
      </c>
      <c r="G19" s="12" t="n">
        <v>155</v>
      </c>
      <c r="H19" s="12" t="n">
        <v>270</v>
      </c>
      <c r="I19" s="12" t="n">
        <v>135</v>
      </c>
      <c r="J19" s="12" t="n">
        <v>8</v>
      </c>
      <c r="K19" s="12" t="n">
        <v>6</v>
      </c>
      <c r="L19" s="11">
        <f>SUM(D19:I19)</f>
        <v/>
      </c>
      <c r="M19" s="11">
        <f>1440-L19</f>
        <v/>
      </c>
      <c r="N19" s="11">
        <f>ROUND(L19/60,1)</f>
        <v/>
      </c>
    </row>
    <row r="20">
      <c r="A20" s="10" t="n">
        <v>46262</v>
      </c>
      <c r="B20" s="11">
        <f>TEXT(A20,"ddd")</f>
        <v/>
      </c>
      <c r="C20" s="11">
        <f>TEXT(A20,"mmmm")</f>
        <v/>
      </c>
      <c r="D20" s="12" t="n">
        <v>388</v>
      </c>
      <c r="E20" s="12" t="n">
        <v>60</v>
      </c>
      <c r="F20" s="12" t="n">
        <v>173</v>
      </c>
      <c r="G20" s="12" t="n">
        <v>170</v>
      </c>
      <c r="H20" s="12" t="n">
        <v>300</v>
      </c>
      <c r="I20" s="12" t="n">
        <v>111</v>
      </c>
      <c r="J20" s="12" t="n">
        <v>5</v>
      </c>
      <c r="K20" s="12" t="n">
        <v>5</v>
      </c>
      <c r="L20" s="11">
        <f>SUM(D20:I20)</f>
        <v/>
      </c>
      <c r="M20" s="11">
        <f>1440-L20</f>
        <v/>
      </c>
      <c r="N20" s="11">
        <f>ROUND(L20/60,1)</f>
        <v/>
      </c>
    </row>
    <row r="21" ht="15.75" customHeight="1" s="20">
      <c r="A21" s="10" t="n">
        <v>46263</v>
      </c>
      <c r="B21" s="11">
        <f>TEXT(A21,"ddd")</f>
        <v/>
      </c>
      <c r="C21" s="11">
        <f>TEXT(A21,"mmmm")</f>
        <v/>
      </c>
      <c r="D21" s="12" t="n">
        <v>480</v>
      </c>
      <c r="E21" s="12" t="n">
        <v>60</v>
      </c>
      <c r="F21" s="12" t="n">
        <v>151</v>
      </c>
      <c r="G21" s="12" t="n">
        <v>187</v>
      </c>
      <c r="H21" s="12" t="n">
        <v>0</v>
      </c>
      <c r="I21" s="12" t="n">
        <v>134</v>
      </c>
      <c r="J21" s="12" t="n">
        <v>6</v>
      </c>
      <c r="K21" s="12" t="n">
        <v>8</v>
      </c>
      <c r="L21" s="11">
        <f>SUM(D21:I21)</f>
        <v/>
      </c>
      <c r="M21" s="11">
        <f>1440-L21</f>
        <v/>
      </c>
      <c r="N21" s="11">
        <f>ROUND(L21/60,1)</f>
        <v/>
      </c>
    </row>
    <row r="22" ht="15.75" customHeight="1" s="20">
      <c r="A22" s="10" t="n">
        <v>46264</v>
      </c>
      <c r="B22" s="11">
        <f>TEXT(A22,"ddd")</f>
        <v/>
      </c>
      <c r="C22" s="11">
        <f>TEXT(A22,"mmmm")</f>
        <v/>
      </c>
      <c r="D22" s="12" t="n">
        <v>375</v>
      </c>
      <c r="E22" s="12" t="n">
        <v>60</v>
      </c>
      <c r="F22" s="12" t="n">
        <v>88</v>
      </c>
      <c r="G22" s="12" t="n">
        <v>131</v>
      </c>
      <c r="H22" s="12" t="n">
        <v>0</v>
      </c>
      <c r="I22" s="12" t="n">
        <v>126</v>
      </c>
      <c r="J22" s="12" t="n">
        <v>5</v>
      </c>
      <c r="K22" s="12" t="n">
        <v>6</v>
      </c>
      <c r="L22" s="11">
        <f>SUM(D22:I22)</f>
        <v/>
      </c>
      <c r="M22" s="11">
        <f>1440-L22</f>
        <v/>
      </c>
      <c r="N22" s="11">
        <f>ROUND(L22/60,1)</f>
        <v/>
      </c>
    </row>
    <row r="23" ht="15.75" customHeight="1" s="20">
      <c r="A23" s="10" t="n">
        <v>46265</v>
      </c>
      <c r="B23" s="11">
        <f>TEXT(A23,"ddd")</f>
        <v/>
      </c>
      <c r="C23" s="11">
        <f>TEXT(A23,"mmmm")</f>
        <v/>
      </c>
      <c r="D23" s="12" t="n">
        <v>458</v>
      </c>
      <c r="E23" s="12" t="n">
        <v>60</v>
      </c>
      <c r="F23" s="12" t="n">
        <v>56</v>
      </c>
      <c r="G23" s="12" t="n">
        <v>113</v>
      </c>
      <c r="H23" s="12" t="n">
        <v>330</v>
      </c>
      <c r="I23" s="12" t="n">
        <v>154</v>
      </c>
      <c r="J23" s="12" t="n">
        <v>5</v>
      </c>
      <c r="K23" s="12" t="n">
        <v>7</v>
      </c>
      <c r="L23" s="11">
        <f>SUM(D23:I23)</f>
        <v/>
      </c>
      <c r="M23" s="11">
        <f>1440-L23</f>
        <v/>
      </c>
      <c r="N23" s="11">
        <f>ROUND(L23/60,1)</f>
        <v/>
      </c>
    </row>
    <row r="24" ht="15.75" customHeight="1" s="20">
      <c r="A24" s="10" t="n">
        <v>46266</v>
      </c>
      <c r="B24" s="11">
        <f>TEXT(A24,"ddd")</f>
        <v/>
      </c>
      <c r="C24" s="11">
        <f>TEXT(A24,"mmmm")</f>
        <v/>
      </c>
      <c r="D24" s="12" t="n">
        <v>455</v>
      </c>
      <c r="E24" s="12" t="n">
        <v>20</v>
      </c>
      <c r="F24" s="12" t="n">
        <v>155</v>
      </c>
      <c r="G24" s="12" t="n">
        <v>48</v>
      </c>
      <c r="H24" s="12" t="n">
        <v>240</v>
      </c>
      <c r="I24" s="12" t="n">
        <v>60</v>
      </c>
      <c r="J24" s="12" t="n">
        <v>6</v>
      </c>
      <c r="K24" s="12" t="n">
        <v>6</v>
      </c>
      <c r="L24" s="11">
        <f>SUM(D24:I24)</f>
        <v/>
      </c>
      <c r="M24" s="11">
        <f>1440-L24</f>
        <v/>
      </c>
      <c r="N24" s="11">
        <f>ROUND(L24/60,1)</f>
        <v/>
      </c>
    </row>
    <row r="25" ht="15.75" customHeight="1" s="20">
      <c r="A25" s="10" t="n">
        <v>46267</v>
      </c>
      <c r="B25" s="11">
        <f>TEXT(A25,"ddd")</f>
        <v/>
      </c>
      <c r="C25" s="11">
        <f>TEXT(A25,"mmmm")</f>
        <v/>
      </c>
      <c r="D25" s="12" t="n">
        <v>371</v>
      </c>
      <c r="E25" s="12" t="n">
        <v>30</v>
      </c>
      <c r="F25" s="12" t="n">
        <v>103</v>
      </c>
      <c r="G25" s="12" t="n">
        <v>75</v>
      </c>
      <c r="H25" s="12" t="n">
        <v>360</v>
      </c>
      <c r="I25" s="12" t="n">
        <v>71</v>
      </c>
      <c r="J25" s="12" t="n">
        <v>6</v>
      </c>
      <c r="K25" s="12" t="n">
        <v>6</v>
      </c>
      <c r="L25" s="11">
        <f>SUM(D25:I25)</f>
        <v/>
      </c>
      <c r="M25" s="11">
        <f>1440-L25</f>
        <v/>
      </c>
      <c r="N25" s="11">
        <f>ROUND(L25/60,1)</f>
        <v/>
      </c>
    </row>
    <row r="26" ht="15.75" customHeight="1" s="20">
      <c r="A26" s="10" t="n">
        <v>46268</v>
      </c>
      <c r="B26" s="11">
        <f>TEXT(A26,"ddd")</f>
        <v/>
      </c>
      <c r="C26" s="11">
        <f>TEXT(A26,"mmmm")</f>
        <v/>
      </c>
      <c r="D26" s="12" t="n">
        <v>512</v>
      </c>
      <c r="E26" s="12" t="n">
        <v>45</v>
      </c>
      <c r="F26" s="12" t="n">
        <v>79</v>
      </c>
      <c r="G26" s="12" t="n">
        <v>46</v>
      </c>
      <c r="H26" s="12" t="n">
        <v>300</v>
      </c>
      <c r="I26" s="12" t="n">
        <v>230</v>
      </c>
      <c r="J26" s="12" t="n">
        <v>8</v>
      </c>
      <c r="K26" s="12" t="n">
        <v>8</v>
      </c>
      <c r="L26" s="11">
        <f>SUM(D26:I26)</f>
        <v/>
      </c>
      <c r="M26" s="11">
        <f>1440-L26</f>
        <v/>
      </c>
      <c r="N26" s="11">
        <f>ROUND(L26/60,1)</f>
        <v/>
      </c>
    </row>
    <row r="27" ht="15.75" customHeight="1" s="20">
      <c r="A27" s="10" t="n">
        <v>46269</v>
      </c>
      <c r="B27" s="11">
        <f>TEXT(A27,"ddd")</f>
        <v/>
      </c>
      <c r="C27" s="11">
        <f>TEXT(A27,"mmmm")</f>
        <v/>
      </c>
      <c r="D27" s="12" t="n">
        <v>475</v>
      </c>
      <c r="E27" s="12" t="n">
        <v>20</v>
      </c>
      <c r="F27" s="12" t="n">
        <v>179</v>
      </c>
      <c r="G27" s="12" t="n">
        <v>102</v>
      </c>
      <c r="H27" s="12" t="n">
        <v>330</v>
      </c>
      <c r="I27" s="12" t="n">
        <v>210</v>
      </c>
      <c r="J27" s="12" t="n">
        <v>6</v>
      </c>
      <c r="K27" s="12" t="n">
        <v>7</v>
      </c>
      <c r="L27" s="11">
        <f>SUM(D27:I27)</f>
        <v/>
      </c>
      <c r="M27" s="11">
        <f>1440-L27</f>
        <v/>
      </c>
      <c r="N27" s="11">
        <f>ROUND(L27/60,1)</f>
        <v/>
      </c>
    </row>
    <row r="28" ht="15.75" customHeight="1" s="20">
      <c r="A28" s="10" t="n">
        <v>46270</v>
      </c>
      <c r="B28" s="11">
        <f>TEXT(A28,"ddd")</f>
        <v/>
      </c>
      <c r="C28" s="11">
        <f>TEXT(A28,"mmmm")</f>
        <v/>
      </c>
      <c r="D28" s="12" t="n">
        <v>479</v>
      </c>
      <c r="E28" s="12" t="n">
        <v>45</v>
      </c>
      <c r="F28" s="12" t="n">
        <v>61</v>
      </c>
      <c r="G28" s="12" t="n">
        <v>151</v>
      </c>
      <c r="H28" s="12" t="n">
        <v>0</v>
      </c>
      <c r="I28" s="12" t="n">
        <v>94</v>
      </c>
      <c r="J28" s="12" t="n">
        <v>8</v>
      </c>
      <c r="K28" s="12" t="n">
        <v>8</v>
      </c>
      <c r="L28" s="11">
        <f>SUM(D28:I28)</f>
        <v/>
      </c>
      <c r="M28" s="11">
        <f>1440-L28</f>
        <v/>
      </c>
      <c r="N28" s="11">
        <f>ROUND(L28/60,1)</f>
        <v/>
      </c>
    </row>
    <row r="29" ht="15.75" customHeight="1" s="20">
      <c r="A29" s="10" t="n">
        <v>46271</v>
      </c>
      <c r="B29" s="11">
        <f>TEXT(A29,"ddd")</f>
        <v/>
      </c>
      <c r="C29" s="11">
        <f>TEXT(A29,"mmmm")</f>
        <v/>
      </c>
      <c r="D29" s="12" t="n">
        <v>428</v>
      </c>
      <c r="E29" s="12" t="n">
        <v>75</v>
      </c>
      <c r="F29" s="12" t="n">
        <v>52</v>
      </c>
      <c r="G29" s="12" t="n">
        <v>99</v>
      </c>
      <c r="H29" s="12" t="n">
        <v>0</v>
      </c>
      <c r="I29" s="12" t="n">
        <v>98</v>
      </c>
      <c r="J29" s="12" t="n">
        <v>6</v>
      </c>
      <c r="K29" s="12" t="n">
        <v>5</v>
      </c>
      <c r="L29" s="11">
        <f>SUM(D29:I29)</f>
        <v/>
      </c>
      <c r="M29" s="11">
        <f>1440-L29</f>
        <v/>
      </c>
      <c r="N29" s="11">
        <f>ROUND(L29/60,1)</f>
        <v/>
      </c>
    </row>
    <row r="30" ht="15.75" customHeight="1" s="20">
      <c r="A30" s="10" t="n">
        <v>46272</v>
      </c>
      <c r="B30" s="11">
        <f>TEXT(A30,"ddd")</f>
        <v/>
      </c>
      <c r="C30" s="11">
        <f>TEXT(A30,"mmmm")</f>
        <v/>
      </c>
      <c r="D30" s="12" t="n">
        <v>353</v>
      </c>
      <c r="E30" s="12" t="n">
        <v>0</v>
      </c>
      <c r="F30" s="12" t="n">
        <v>139</v>
      </c>
      <c r="G30" s="12" t="n">
        <v>63</v>
      </c>
      <c r="H30" s="12" t="n">
        <v>240</v>
      </c>
      <c r="I30" s="12" t="n">
        <v>148</v>
      </c>
      <c r="J30" s="12" t="n">
        <v>5</v>
      </c>
      <c r="K30" s="12" t="n">
        <v>5</v>
      </c>
      <c r="L30" s="11">
        <f>SUM(D30:I30)</f>
        <v/>
      </c>
      <c r="M30" s="11">
        <f>1440-L30</f>
        <v/>
      </c>
      <c r="N30" s="11">
        <f>ROUND(L30/60,1)</f>
        <v/>
      </c>
    </row>
    <row r="31" ht="15.75" customHeight="1" s="20">
      <c r="A31" s="10" t="n">
        <v>46273</v>
      </c>
      <c r="B31" s="11">
        <f>TEXT(A31,"ddd")</f>
        <v/>
      </c>
      <c r="C31" s="11">
        <f>TEXT(A31,"mmmm")</f>
        <v/>
      </c>
      <c r="D31" s="12" t="n">
        <v>356</v>
      </c>
      <c r="E31" s="12" t="n">
        <v>0</v>
      </c>
      <c r="F31" s="12" t="n">
        <v>170</v>
      </c>
      <c r="G31" s="12" t="n">
        <v>166</v>
      </c>
      <c r="H31" s="12" t="n">
        <v>300</v>
      </c>
      <c r="I31" s="12" t="n">
        <v>234</v>
      </c>
      <c r="J31" s="12" t="n">
        <v>3</v>
      </c>
      <c r="K31" s="12" t="n">
        <v>3</v>
      </c>
      <c r="L31" s="11">
        <f>SUM(D31:I31)</f>
        <v/>
      </c>
      <c r="M31" s="11">
        <f>1440-L31</f>
        <v/>
      </c>
      <c r="N31" s="11">
        <f>ROUND(L31/60,1)</f>
        <v/>
      </c>
    </row>
    <row r="32" ht="15.75" customHeight="1" s="20">
      <c r="A32" s="10" t="n">
        <v>46274</v>
      </c>
      <c r="B32" s="11">
        <f>TEXT(A32,"ddd")</f>
        <v/>
      </c>
      <c r="C32" s="11">
        <f>TEXT(A32,"mmmm")</f>
        <v/>
      </c>
      <c r="D32" s="12" t="n">
        <v>381</v>
      </c>
      <c r="E32" s="12" t="n">
        <v>60</v>
      </c>
      <c r="F32" s="12" t="n">
        <v>159</v>
      </c>
      <c r="G32" s="12" t="n">
        <v>191</v>
      </c>
      <c r="H32" s="12" t="n">
        <v>360</v>
      </c>
      <c r="I32" s="12" t="n">
        <v>103</v>
      </c>
      <c r="J32" s="12" t="n">
        <v>4</v>
      </c>
      <c r="K32" s="12" t="n">
        <v>5</v>
      </c>
      <c r="L32" s="11">
        <f>SUM(D32:I32)</f>
        <v/>
      </c>
      <c r="M32" s="11">
        <f>1440-L32</f>
        <v/>
      </c>
      <c r="N32" s="11">
        <f>ROUND(L32/60,1)</f>
        <v/>
      </c>
    </row>
    <row r="33" ht="15.75" customHeight="1" s="20">
      <c r="A33" s="10" t="n">
        <v>46275</v>
      </c>
      <c r="B33" s="11">
        <f>TEXT(A33,"ddd")</f>
        <v/>
      </c>
      <c r="C33" s="11">
        <f>TEXT(A33,"mmmm")</f>
        <v/>
      </c>
      <c r="D33" s="12" t="n">
        <v>461</v>
      </c>
      <c r="E33" s="12" t="n">
        <v>55</v>
      </c>
      <c r="F33" s="12" t="n"/>
      <c r="G33" s="12" t="n"/>
      <c r="H33" s="12" t="n"/>
      <c r="I33" s="12" t="n"/>
      <c r="J33" s="12" t="n"/>
      <c r="K33" s="12" t="n"/>
      <c r="L33" s="11" t="n"/>
      <c r="M33" s="11" t="n"/>
      <c r="N33" s="11" t="n"/>
    </row>
    <row r="34" ht="15.75" customHeight="1" s="20">
      <c r="A34" s="10" t="n"/>
      <c r="B34" s="11" t="n"/>
      <c r="C34" s="11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1" t="n"/>
      <c r="M34" s="11" t="n"/>
      <c r="N34" s="11" t="n"/>
    </row>
    <row r="35" ht="15.75" customHeight="1" s="20">
      <c r="A35" s="10" t="n"/>
      <c r="B35" s="11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1" t="n"/>
      <c r="M35" s="11" t="n"/>
      <c r="N35" s="11" t="n"/>
    </row>
    <row r="36" ht="15.75" customHeight="1" s="20">
      <c r="A36" s="10" t="n"/>
      <c r="B36" s="11" t="n"/>
      <c r="C36" s="11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1" t="n"/>
      <c r="M36" s="11" t="n"/>
      <c r="N36" s="11" t="n"/>
    </row>
    <row r="37" ht="15.75" customHeight="1" s="20">
      <c r="A37" s="10" t="n"/>
      <c r="B37" s="11" t="n"/>
      <c r="C37" s="11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1" t="n"/>
      <c r="M37" s="11" t="n"/>
      <c r="N37" s="11" t="n"/>
    </row>
    <row r="38" ht="15.75" customHeight="1" s="20">
      <c r="A38" s="10" t="n"/>
      <c r="B38" s="11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1" t="n"/>
      <c r="M38" s="11" t="n"/>
      <c r="N38" s="11" t="n"/>
    </row>
    <row r="39" ht="15.75" customHeight="1" s="20">
      <c r="A39" s="10" t="n"/>
      <c r="B39" s="11" t="n"/>
      <c r="C39" s="11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1" t="n"/>
      <c r="M39" s="11" t="n"/>
      <c r="N39" s="11" t="n"/>
    </row>
    <row r="40" ht="15.75" customHeight="1" s="20">
      <c r="A40" s="10" t="n"/>
      <c r="B40" s="11" t="n"/>
      <c r="C40" s="11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1" t="n"/>
      <c r="M40" s="11" t="n"/>
      <c r="N40" s="11" t="n"/>
    </row>
    <row r="41" ht="15.75" customHeight="1" s="20">
      <c r="A41" s="10" t="n"/>
      <c r="B41" s="11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1" t="n"/>
      <c r="M41" s="11" t="n"/>
      <c r="N41" s="11" t="n"/>
    </row>
    <row r="42" ht="15.75" customHeight="1" s="20">
      <c r="A42" s="10" t="n"/>
      <c r="B42" s="11" t="n"/>
      <c r="C42" s="11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1" t="n"/>
      <c r="M42" s="11" t="n"/>
      <c r="N42" s="11" t="n"/>
    </row>
    <row r="43" ht="15.75" customHeight="1" s="20">
      <c r="A43" s="10" t="n"/>
      <c r="B43" s="11" t="n"/>
      <c r="C43" s="11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1" t="n"/>
      <c r="M43" s="11" t="n"/>
      <c r="N43" s="11" t="n"/>
    </row>
    <row r="44" ht="15.75" customHeight="1" s="20">
      <c r="A44" s="10" t="n"/>
      <c r="B44" s="11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1" t="n"/>
      <c r="M44" s="11" t="n"/>
      <c r="N44" s="11" t="n"/>
    </row>
    <row r="45" ht="15.75" customHeight="1" s="20">
      <c r="A45" s="10" t="n"/>
      <c r="B45" s="11" t="n"/>
      <c r="C45" s="11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1" t="n"/>
      <c r="M45" s="11" t="n"/>
      <c r="N45" s="11" t="n"/>
    </row>
    <row r="46" ht="15.75" customHeight="1" s="20">
      <c r="A46" s="10" t="n"/>
      <c r="B46" s="11" t="n"/>
      <c r="C46" s="11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1" t="n"/>
      <c r="M46" s="11" t="n"/>
      <c r="N46" s="11" t="n"/>
    </row>
    <row r="47" ht="15.75" customHeight="1" s="20">
      <c r="A47" s="10" t="n"/>
      <c r="B47" s="11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1" t="n"/>
      <c r="M47" s="11" t="n"/>
      <c r="N47" s="11" t="n"/>
    </row>
    <row r="48" ht="15.75" customHeight="1" s="20">
      <c r="A48" s="10" t="n"/>
      <c r="B48" s="11" t="n"/>
      <c r="C48" s="11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1" t="n"/>
      <c r="M48" s="11" t="n"/>
      <c r="N48" s="11" t="n"/>
    </row>
    <row r="49" ht="15.75" customHeight="1" s="20">
      <c r="A49" s="10" t="n"/>
      <c r="B49" s="11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1" t="n"/>
      <c r="M49" s="11" t="n"/>
      <c r="N49" s="11" t="n"/>
    </row>
    <row r="50" ht="15.75" customHeight="1" s="20">
      <c r="A50" s="10" t="n"/>
      <c r="B50" s="11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1" t="n"/>
      <c r="M50" s="11" t="n"/>
      <c r="N50" s="11" t="n"/>
    </row>
    <row r="51" ht="15.75" customHeight="1" s="20">
      <c r="A51" s="10" t="n"/>
      <c r="B51" s="11" t="n"/>
      <c r="C51" s="11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1" t="n"/>
      <c r="M51" s="11" t="n"/>
      <c r="N51" s="11" t="n"/>
    </row>
    <row r="52" ht="15.75" customHeight="1" s="20">
      <c r="A52" s="10" t="n"/>
      <c r="B52" s="11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1" t="n"/>
      <c r="M52" s="11" t="n"/>
      <c r="N52" s="11" t="n"/>
    </row>
    <row r="53" ht="15.75" customHeight="1" s="20">
      <c r="A53" s="10" t="n"/>
      <c r="B53" s="11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1" t="n"/>
      <c r="M53" s="11" t="n"/>
      <c r="N53" s="11" t="n"/>
    </row>
    <row r="54" ht="15.75" customHeight="1" s="20">
      <c r="A54" s="10" t="n"/>
      <c r="B54" s="11" t="n"/>
      <c r="C54" s="11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1" t="n"/>
      <c r="M54" s="11" t="n"/>
      <c r="N54" s="11" t="n"/>
    </row>
    <row r="55" ht="15.75" customHeight="1" s="20">
      <c r="A55" s="10" t="n"/>
      <c r="B55" s="11" t="n"/>
      <c r="C55" s="11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1" t="n"/>
      <c r="M55" s="11" t="n"/>
      <c r="N55" s="11" t="n"/>
    </row>
    <row r="56" ht="15.75" customHeight="1" s="20">
      <c r="A56" s="10" t="n"/>
      <c r="B56" s="11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1" t="n"/>
      <c r="M56" s="11" t="n"/>
      <c r="N56" s="11" t="n"/>
    </row>
    <row r="57" ht="15.75" customHeight="1" s="20">
      <c r="D57" s="16" t="n"/>
      <c r="E57" s="16" t="n"/>
      <c r="F57" s="16" t="n"/>
      <c r="G57" s="16" t="n"/>
      <c r="H57" s="16" t="n"/>
      <c r="I57" s="16" t="n"/>
      <c r="J57" s="16" t="n"/>
      <c r="K57" s="16" t="n"/>
    </row>
    <row r="58" ht="15.75" customHeight="1" s="20">
      <c r="D58" s="16" t="n"/>
      <c r="E58" s="16" t="n"/>
      <c r="F58" s="16" t="n"/>
      <c r="G58" s="16" t="n"/>
      <c r="H58" s="16" t="n"/>
      <c r="I58" s="16" t="n"/>
      <c r="J58" s="16" t="n"/>
      <c r="K58" s="16" t="n"/>
    </row>
    <row r="59" ht="15.75" customHeight="1" s="20">
      <c r="D59" s="16" t="n"/>
      <c r="E59" s="16" t="n"/>
      <c r="F59" s="16" t="n"/>
      <c r="G59" s="16" t="n"/>
      <c r="H59" s="16" t="n"/>
      <c r="I59" s="16" t="n"/>
      <c r="J59" s="16" t="n"/>
      <c r="K59" s="16" t="n"/>
    </row>
    <row r="60" ht="15.75" customHeight="1" s="20">
      <c r="D60" s="16" t="n"/>
      <c r="E60" s="16" t="n"/>
      <c r="F60" s="16" t="n"/>
      <c r="G60" s="16" t="n"/>
      <c r="H60" s="16" t="n"/>
      <c r="I60" s="16" t="n"/>
      <c r="J60" s="16" t="n"/>
      <c r="K60" s="16" t="n"/>
    </row>
    <row r="61" ht="15.75" customHeight="1" s="20">
      <c r="D61" s="16" t="n"/>
      <c r="E61" s="16" t="n"/>
      <c r="F61" s="16" t="n"/>
      <c r="G61" s="16" t="n"/>
      <c r="H61" s="16" t="n"/>
      <c r="I61" s="16" t="n"/>
      <c r="J61" s="16" t="n"/>
      <c r="K61" s="16" t="n"/>
    </row>
    <row r="62" ht="15.75" customHeight="1" s="20">
      <c r="D62" s="16" t="n"/>
      <c r="E62" s="16" t="n"/>
      <c r="F62" s="16" t="n"/>
      <c r="G62" s="16" t="n"/>
      <c r="H62" s="16" t="n"/>
      <c r="I62" s="16" t="n"/>
      <c r="J62" s="16" t="n"/>
      <c r="K62" s="16" t="n"/>
    </row>
    <row r="63" ht="15.75" customHeight="1" s="20">
      <c r="D63" s="16" t="n"/>
      <c r="E63" s="16" t="n"/>
      <c r="F63" s="16" t="n"/>
      <c r="G63" s="16" t="n"/>
      <c r="H63" s="16" t="n"/>
      <c r="I63" s="16" t="n"/>
      <c r="J63" s="16" t="n"/>
      <c r="K63" s="16" t="n"/>
    </row>
    <row r="64" ht="15.75" customHeight="1" s="20">
      <c r="D64" s="16" t="n"/>
      <c r="E64" s="16" t="n"/>
      <c r="F64" s="16" t="n"/>
      <c r="G64" s="16" t="n"/>
      <c r="H64" s="16" t="n"/>
      <c r="I64" s="16" t="n"/>
      <c r="J64" s="16" t="n"/>
      <c r="K64" s="16" t="n"/>
    </row>
    <row r="65" ht="15.75" customHeight="1" s="20">
      <c r="D65" s="16" t="n"/>
      <c r="E65" s="16" t="n"/>
      <c r="F65" s="16" t="n"/>
      <c r="G65" s="16" t="n"/>
      <c r="H65" s="16" t="n"/>
      <c r="I65" s="16" t="n"/>
      <c r="J65" s="16" t="n"/>
      <c r="K65" s="16" t="n"/>
    </row>
    <row r="66" ht="15.75" customHeight="1" s="20">
      <c r="D66" s="16" t="n"/>
      <c r="E66" s="16" t="n"/>
      <c r="F66" s="16" t="n"/>
      <c r="G66" s="16" t="n"/>
      <c r="H66" s="16" t="n"/>
      <c r="I66" s="16" t="n"/>
      <c r="J66" s="16" t="n"/>
      <c r="K66" s="16" t="n"/>
    </row>
    <row r="67" ht="15.75" customHeight="1" s="20">
      <c r="D67" s="16" t="n"/>
      <c r="E67" s="16" t="n"/>
      <c r="F67" s="16" t="n"/>
      <c r="G67" s="16" t="n"/>
      <c r="H67" s="16" t="n"/>
      <c r="I67" s="16" t="n"/>
      <c r="J67" s="16" t="n"/>
      <c r="K67" s="16" t="n"/>
    </row>
    <row r="68" ht="15.75" customHeight="1" s="20">
      <c r="D68" s="16" t="n"/>
      <c r="E68" s="16" t="n"/>
      <c r="F68" s="16" t="n"/>
      <c r="G68" s="16" t="n"/>
      <c r="H68" s="16" t="n"/>
      <c r="I68" s="16" t="n"/>
      <c r="J68" s="16" t="n"/>
      <c r="K68" s="16" t="n"/>
    </row>
    <row r="69" ht="15.75" customHeight="1" s="20"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 ht="15.75" customHeight="1" s="20">
      <c r="D70" s="16" t="n"/>
      <c r="E70" s="16" t="n"/>
      <c r="F70" s="16" t="n"/>
      <c r="G70" s="16" t="n"/>
      <c r="H70" s="16" t="n"/>
      <c r="I70" s="16" t="n"/>
      <c r="J70" s="16" t="n"/>
      <c r="K70" s="16" t="n"/>
    </row>
    <row r="71" ht="15.75" customHeight="1" s="20">
      <c r="D71" s="16" t="n"/>
      <c r="E71" s="16" t="n"/>
      <c r="F71" s="16" t="n"/>
      <c r="G71" s="16" t="n"/>
      <c r="H71" s="16" t="n"/>
      <c r="I71" s="16" t="n"/>
      <c r="J71" s="16" t="n"/>
      <c r="K71" s="16" t="n"/>
    </row>
    <row r="72" ht="15.75" customHeight="1" s="20">
      <c r="D72" s="16" t="n"/>
      <c r="E72" s="16" t="n"/>
      <c r="F72" s="16" t="n"/>
      <c r="G72" s="16" t="n"/>
      <c r="H72" s="16" t="n"/>
      <c r="I72" s="16" t="n"/>
      <c r="J72" s="16" t="n"/>
      <c r="K72" s="16" t="n"/>
    </row>
    <row r="73" ht="15.75" customHeight="1" s="20">
      <c r="D73" s="16" t="n"/>
      <c r="E73" s="16" t="n"/>
      <c r="F73" s="16" t="n"/>
      <c r="G73" s="16" t="n"/>
      <c r="H73" s="16" t="n"/>
      <c r="I73" s="16" t="n"/>
      <c r="J73" s="16" t="n"/>
      <c r="K73" s="16" t="n"/>
    </row>
    <row r="74" ht="15.75" customHeight="1" s="20">
      <c r="D74" s="16" t="n"/>
      <c r="E74" s="16" t="n"/>
      <c r="F74" s="16" t="n"/>
      <c r="G74" s="16" t="n"/>
      <c r="H74" s="16" t="n"/>
      <c r="I74" s="16" t="n"/>
      <c r="J74" s="16" t="n"/>
      <c r="K74" s="16" t="n"/>
    </row>
    <row r="75" ht="15.75" customHeight="1" s="20">
      <c r="D75" s="16" t="n"/>
      <c r="E75" s="16" t="n"/>
      <c r="F75" s="16" t="n"/>
      <c r="G75" s="16" t="n"/>
      <c r="H75" s="16" t="n"/>
      <c r="I75" s="16" t="n"/>
      <c r="J75" s="16" t="n"/>
      <c r="K75" s="16" t="n"/>
    </row>
    <row r="76" ht="15.75" customHeight="1" s="20">
      <c r="D76" s="16" t="n"/>
      <c r="E76" s="16" t="n"/>
      <c r="F76" s="16" t="n"/>
      <c r="G76" s="16" t="n"/>
      <c r="H76" s="16" t="n"/>
      <c r="I76" s="16" t="n"/>
      <c r="J76" s="16" t="n"/>
      <c r="K76" s="16" t="n"/>
    </row>
    <row r="77" ht="15.75" customHeight="1" s="20">
      <c r="D77" s="16" t="n"/>
      <c r="E77" s="16" t="n"/>
      <c r="F77" s="16" t="n"/>
      <c r="G77" s="16" t="n"/>
      <c r="H77" s="16" t="n"/>
      <c r="I77" s="16" t="n"/>
      <c r="J77" s="16" t="n"/>
      <c r="K77" s="16" t="n"/>
    </row>
    <row r="78" ht="15.75" customHeight="1" s="20">
      <c r="D78" s="16" t="n"/>
      <c r="E78" s="16" t="n"/>
      <c r="F78" s="16" t="n"/>
      <c r="G78" s="16" t="n"/>
      <c r="H78" s="16" t="n"/>
      <c r="I78" s="16" t="n"/>
      <c r="J78" s="16" t="n"/>
      <c r="K78" s="16" t="n"/>
    </row>
    <row r="79" ht="15.75" customHeight="1" s="20">
      <c r="D79" s="16" t="n"/>
      <c r="E79" s="16" t="n"/>
      <c r="F79" s="16" t="n"/>
      <c r="G79" s="16" t="n"/>
      <c r="H79" s="16" t="n"/>
      <c r="I79" s="16" t="n"/>
      <c r="J79" s="16" t="n"/>
      <c r="K79" s="16" t="n"/>
    </row>
    <row r="80" ht="15.75" customHeight="1" s="20">
      <c r="D80" s="16" t="n"/>
      <c r="E80" s="16" t="n"/>
      <c r="F80" s="16" t="n"/>
      <c r="G80" s="16" t="n"/>
      <c r="H80" s="16" t="n"/>
      <c r="I80" s="16" t="n"/>
      <c r="J80" s="16" t="n"/>
      <c r="K80" s="16" t="n"/>
    </row>
    <row r="81" ht="15.75" customHeight="1" s="20">
      <c r="D81" s="16" t="n"/>
      <c r="E81" s="16" t="n"/>
      <c r="F81" s="16" t="n"/>
      <c r="G81" s="16" t="n"/>
      <c r="H81" s="16" t="n"/>
      <c r="I81" s="16" t="n"/>
      <c r="J81" s="16" t="n"/>
      <c r="K81" s="16" t="n"/>
    </row>
    <row r="82" ht="15.75" customHeight="1" s="20">
      <c r="D82" s="16" t="n"/>
      <c r="E82" s="16" t="n"/>
      <c r="F82" s="16" t="n"/>
      <c r="G82" s="16" t="n"/>
      <c r="H82" s="16" t="n"/>
      <c r="I82" s="16" t="n"/>
      <c r="J82" s="16" t="n"/>
      <c r="K82" s="16" t="n"/>
    </row>
    <row r="83" ht="15.75" customHeight="1" s="20">
      <c r="D83" s="16" t="n"/>
      <c r="E83" s="16" t="n"/>
      <c r="F83" s="16" t="n"/>
      <c r="G83" s="16" t="n"/>
      <c r="H83" s="16" t="n"/>
      <c r="I83" s="16" t="n"/>
      <c r="J83" s="16" t="n"/>
      <c r="K83" s="16" t="n"/>
    </row>
    <row r="84" ht="15.75" customHeight="1" s="20">
      <c r="D84" s="16" t="n"/>
      <c r="E84" s="16" t="n"/>
      <c r="F84" s="16" t="n"/>
      <c r="G84" s="16" t="n"/>
      <c r="H84" s="16" t="n"/>
      <c r="I84" s="16" t="n"/>
      <c r="J84" s="16" t="n"/>
      <c r="K84" s="16" t="n"/>
    </row>
    <row r="85" ht="15.75" customHeight="1" s="20">
      <c r="D85" s="16" t="n"/>
      <c r="E85" s="16" t="n"/>
      <c r="F85" s="16" t="n"/>
      <c r="G85" s="16" t="n"/>
      <c r="H85" s="16" t="n"/>
      <c r="I85" s="16" t="n"/>
      <c r="J85" s="16" t="n"/>
      <c r="K85" s="16" t="n"/>
    </row>
    <row r="86" ht="15.75" customHeight="1" s="20">
      <c r="D86" s="16" t="n"/>
      <c r="E86" s="16" t="n"/>
      <c r="F86" s="16" t="n"/>
      <c r="G86" s="16" t="n"/>
      <c r="H86" s="16" t="n"/>
      <c r="I86" s="16" t="n"/>
      <c r="J86" s="16" t="n"/>
      <c r="K86" s="16" t="n"/>
    </row>
    <row r="87" ht="15.75" customHeight="1" s="20">
      <c r="D87" s="16" t="n"/>
      <c r="E87" s="16" t="n"/>
      <c r="F87" s="16" t="n"/>
      <c r="G87" s="16" t="n"/>
      <c r="H87" s="16" t="n"/>
      <c r="I87" s="16" t="n"/>
      <c r="J87" s="16" t="n"/>
      <c r="K87" s="16" t="n"/>
    </row>
    <row r="88" ht="15.75" customHeight="1" s="20">
      <c r="D88" s="16" t="n"/>
      <c r="E88" s="16" t="n"/>
      <c r="F88" s="16" t="n"/>
      <c r="G88" s="16" t="n"/>
      <c r="H88" s="16" t="n"/>
      <c r="I88" s="16" t="n"/>
      <c r="J88" s="16" t="n"/>
      <c r="K88" s="16" t="n"/>
    </row>
    <row r="89" ht="15.75" customHeight="1" s="20">
      <c r="D89" s="16" t="n"/>
      <c r="E89" s="16" t="n"/>
      <c r="F89" s="16" t="n"/>
      <c r="G89" s="16" t="n"/>
      <c r="H89" s="16" t="n"/>
      <c r="I89" s="16" t="n"/>
      <c r="J89" s="16" t="n"/>
      <c r="K89" s="16" t="n"/>
    </row>
    <row r="90" ht="15.75" customHeight="1" s="20">
      <c r="D90" s="16" t="n"/>
      <c r="E90" s="16" t="n"/>
      <c r="F90" s="16" t="n"/>
      <c r="G90" s="16" t="n"/>
      <c r="H90" s="16" t="n"/>
      <c r="I90" s="16" t="n"/>
      <c r="J90" s="16" t="n"/>
      <c r="K90" s="16" t="n"/>
    </row>
    <row r="91" ht="15.75" customHeight="1" s="20">
      <c r="D91" s="16" t="n"/>
      <c r="E91" s="16" t="n"/>
      <c r="F91" s="16" t="n"/>
      <c r="G91" s="16" t="n"/>
      <c r="H91" s="16" t="n"/>
      <c r="I91" s="16" t="n"/>
      <c r="J91" s="16" t="n"/>
      <c r="K91" s="16" t="n"/>
    </row>
    <row r="92" ht="15.75" customHeight="1" s="20">
      <c r="D92" s="16" t="n"/>
      <c r="E92" s="16" t="n"/>
      <c r="F92" s="16" t="n"/>
      <c r="G92" s="16" t="n"/>
      <c r="H92" s="16" t="n"/>
      <c r="I92" s="16" t="n"/>
      <c r="J92" s="16" t="n"/>
      <c r="K92" s="16" t="n"/>
    </row>
    <row r="93" ht="15.75" customHeight="1" s="20">
      <c r="D93" s="16" t="n"/>
      <c r="E93" s="16" t="n"/>
      <c r="F93" s="16" t="n"/>
      <c r="G93" s="16" t="n"/>
      <c r="H93" s="16" t="n"/>
      <c r="I93" s="16" t="n"/>
      <c r="J93" s="16" t="n"/>
      <c r="K93" s="16" t="n"/>
    </row>
    <row r="94" ht="15.75" customHeight="1" s="20">
      <c r="D94" s="16" t="n"/>
      <c r="E94" s="16" t="n"/>
      <c r="F94" s="16" t="n"/>
      <c r="G94" s="16" t="n"/>
      <c r="H94" s="16" t="n"/>
      <c r="I94" s="16" t="n"/>
      <c r="J94" s="16" t="n"/>
      <c r="K94" s="16" t="n"/>
    </row>
    <row r="95" ht="15.75" customHeight="1" s="20">
      <c r="D95" s="16" t="n"/>
      <c r="E95" s="16" t="n"/>
      <c r="F95" s="16" t="n"/>
      <c r="G95" s="16" t="n"/>
      <c r="H95" s="16" t="n"/>
      <c r="I95" s="16" t="n"/>
      <c r="J95" s="16" t="n"/>
      <c r="K95" s="16" t="n"/>
    </row>
    <row r="96" ht="15.75" customHeight="1" s="20">
      <c r="D96" s="16" t="n"/>
      <c r="E96" s="16" t="n"/>
      <c r="F96" s="16" t="n"/>
      <c r="G96" s="16" t="n"/>
      <c r="H96" s="16" t="n"/>
      <c r="I96" s="16" t="n"/>
      <c r="J96" s="16" t="n"/>
      <c r="K96" s="16" t="n"/>
    </row>
    <row r="97" ht="15.75" customHeight="1" s="20">
      <c r="D97" s="16" t="n"/>
      <c r="E97" s="16" t="n"/>
      <c r="F97" s="16" t="n"/>
      <c r="G97" s="16" t="n"/>
      <c r="H97" s="16" t="n"/>
      <c r="I97" s="16" t="n"/>
      <c r="J97" s="16" t="n"/>
      <c r="K97" s="16" t="n"/>
    </row>
    <row r="98" ht="15.75" customHeight="1" s="20">
      <c r="D98" s="16" t="n"/>
      <c r="E98" s="16" t="n"/>
      <c r="F98" s="16" t="n"/>
      <c r="G98" s="16" t="n"/>
      <c r="H98" s="16" t="n"/>
      <c r="I98" s="16" t="n"/>
      <c r="J98" s="16" t="n"/>
      <c r="K98" s="16" t="n"/>
    </row>
    <row r="99" ht="15.75" customHeight="1" s="20">
      <c r="D99" s="16" t="n"/>
      <c r="E99" s="16" t="n"/>
      <c r="F99" s="16" t="n"/>
      <c r="G99" s="16" t="n"/>
      <c r="H99" s="16" t="n"/>
      <c r="I99" s="16" t="n"/>
      <c r="J99" s="16" t="n"/>
      <c r="K99" s="16" t="n"/>
    </row>
    <row r="100" ht="15.75" customHeight="1" s="20">
      <c r="D100" s="16" t="n"/>
      <c r="E100" s="16" t="n"/>
      <c r="F100" s="16" t="n"/>
      <c r="G100" s="16" t="n"/>
      <c r="H100" s="16" t="n"/>
      <c r="I100" s="16" t="n"/>
      <c r="J100" s="16" t="n"/>
      <c r="K100" s="16" t="n"/>
    </row>
    <row r="101" ht="15.75" customHeight="1" s="20">
      <c r="D101" s="16" t="n"/>
      <c r="E101" s="16" t="n"/>
      <c r="F101" s="16" t="n"/>
      <c r="G101" s="16" t="n"/>
      <c r="H101" s="16" t="n"/>
      <c r="I101" s="16" t="n"/>
      <c r="J101" s="16" t="n"/>
      <c r="K101" s="16" t="n"/>
    </row>
    <row r="102" ht="15.75" customHeight="1" s="20">
      <c r="D102" s="16" t="n"/>
      <c r="E102" s="16" t="n"/>
      <c r="F102" s="16" t="n"/>
      <c r="G102" s="16" t="n"/>
      <c r="H102" s="16" t="n"/>
      <c r="I102" s="16" t="n"/>
      <c r="J102" s="16" t="n"/>
      <c r="K102" s="16" t="n"/>
    </row>
    <row r="103" ht="15.75" customHeight="1" s="20">
      <c r="D103" s="16" t="n"/>
      <c r="E103" s="16" t="n"/>
      <c r="F103" s="16" t="n"/>
      <c r="G103" s="16" t="n"/>
      <c r="H103" s="16" t="n"/>
      <c r="I103" s="16" t="n"/>
      <c r="J103" s="16" t="n"/>
      <c r="K103" s="16" t="n"/>
    </row>
    <row r="104" ht="15.75" customHeight="1" s="20">
      <c r="D104" s="16" t="n"/>
      <c r="E104" s="16" t="n"/>
      <c r="F104" s="16" t="n"/>
      <c r="G104" s="16" t="n"/>
      <c r="H104" s="16" t="n"/>
      <c r="I104" s="16" t="n"/>
      <c r="J104" s="16" t="n"/>
      <c r="K104" s="16" t="n"/>
    </row>
    <row r="105" ht="15.75" customHeight="1" s="20">
      <c r="D105" s="16" t="n"/>
      <c r="E105" s="16" t="n"/>
      <c r="F105" s="16" t="n"/>
      <c r="G105" s="16" t="n"/>
      <c r="H105" s="16" t="n"/>
      <c r="I105" s="16" t="n"/>
      <c r="J105" s="16" t="n"/>
      <c r="K105" s="16" t="n"/>
    </row>
    <row r="106" ht="15.75" customHeight="1" s="20">
      <c r="D106" s="16" t="n"/>
      <c r="E106" s="16" t="n"/>
      <c r="F106" s="16" t="n"/>
      <c r="G106" s="16" t="n"/>
      <c r="H106" s="16" t="n"/>
      <c r="I106" s="16" t="n"/>
      <c r="J106" s="16" t="n"/>
      <c r="K106" s="16" t="n"/>
    </row>
    <row r="107" ht="15.75" customHeight="1" s="20">
      <c r="D107" s="16" t="n"/>
      <c r="E107" s="16" t="n"/>
      <c r="F107" s="16" t="n"/>
      <c r="G107" s="16" t="n"/>
      <c r="H107" s="16" t="n"/>
      <c r="I107" s="16" t="n"/>
      <c r="J107" s="16" t="n"/>
      <c r="K107" s="16" t="n"/>
    </row>
    <row r="108" ht="15.75" customHeight="1" s="20">
      <c r="D108" s="16" t="n"/>
      <c r="E108" s="16" t="n"/>
      <c r="F108" s="16" t="n"/>
      <c r="G108" s="16" t="n"/>
      <c r="H108" s="16" t="n"/>
      <c r="I108" s="16" t="n"/>
      <c r="J108" s="16" t="n"/>
      <c r="K108" s="16" t="n"/>
    </row>
    <row r="109" ht="15.75" customHeight="1" s="20">
      <c r="D109" s="16" t="n"/>
      <c r="E109" s="16" t="n"/>
      <c r="F109" s="16" t="n"/>
      <c r="G109" s="16" t="n"/>
      <c r="H109" s="16" t="n"/>
      <c r="I109" s="16" t="n"/>
      <c r="J109" s="16" t="n"/>
      <c r="K109" s="16" t="n"/>
    </row>
    <row r="110" ht="15.75" customHeight="1" s="20">
      <c r="D110" s="16" t="n"/>
      <c r="E110" s="16" t="n"/>
      <c r="F110" s="16" t="n"/>
      <c r="G110" s="16" t="n"/>
      <c r="H110" s="16" t="n"/>
      <c r="I110" s="16" t="n"/>
      <c r="J110" s="16" t="n"/>
      <c r="K110" s="16" t="n"/>
    </row>
    <row r="111" ht="15.75" customHeight="1" s="20">
      <c r="D111" s="16" t="n"/>
      <c r="E111" s="16" t="n"/>
      <c r="F111" s="16" t="n"/>
      <c r="G111" s="16" t="n"/>
      <c r="H111" s="16" t="n"/>
      <c r="I111" s="16" t="n"/>
      <c r="J111" s="16" t="n"/>
      <c r="K111" s="16" t="n"/>
    </row>
    <row r="112" ht="15.75" customHeight="1" s="20">
      <c r="D112" s="16" t="n"/>
      <c r="E112" s="16" t="n"/>
      <c r="F112" s="16" t="n"/>
      <c r="G112" s="16" t="n"/>
      <c r="H112" s="16" t="n"/>
      <c r="I112" s="16" t="n"/>
      <c r="J112" s="16" t="n"/>
      <c r="K112" s="16" t="n"/>
    </row>
    <row r="113" ht="15.75" customHeight="1" s="20">
      <c r="D113" s="16" t="n"/>
      <c r="E113" s="16" t="n"/>
      <c r="F113" s="16" t="n"/>
      <c r="G113" s="16" t="n"/>
      <c r="H113" s="16" t="n"/>
      <c r="I113" s="16" t="n"/>
      <c r="J113" s="16" t="n"/>
      <c r="K113" s="16" t="n"/>
    </row>
    <row r="114" ht="15.75" customHeight="1" s="20">
      <c r="D114" s="16" t="n"/>
      <c r="E114" s="16" t="n"/>
      <c r="F114" s="16" t="n"/>
      <c r="G114" s="16" t="n"/>
      <c r="H114" s="16" t="n"/>
      <c r="I114" s="16" t="n"/>
      <c r="J114" s="16" t="n"/>
      <c r="K114" s="16" t="n"/>
    </row>
    <row r="115" ht="15.75" customHeight="1" s="20">
      <c r="D115" s="16" t="n"/>
      <c r="E115" s="16" t="n"/>
      <c r="F115" s="16" t="n"/>
      <c r="G115" s="16" t="n"/>
      <c r="H115" s="16" t="n"/>
      <c r="I115" s="16" t="n"/>
      <c r="J115" s="16" t="n"/>
      <c r="K115" s="16" t="n"/>
    </row>
    <row r="116" ht="15.75" customHeight="1" s="20">
      <c r="D116" s="16" t="n"/>
      <c r="E116" s="16" t="n"/>
      <c r="F116" s="16" t="n"/>
      <c r="G116" s="16" t="n"/>
      <c r="H116" s="16" t="n"/>
      <c r="I116" s="16" t="n"/>
      <c r="J116" s="16" t="n"/>
      <c r="K116" s="16" t="n"/>
    </row>
    <row r="117" ht="15.75" customHeight="1" s="20">
      <c r="D117" s="16" t="n"/>
      <c r="E117" s="16" t="n"/>
      <c r="F117" s="16" t="n"/>
      <c r="G117" s="16" t="n"/>
      <c r="H117" s="16" t="n"/>
      <c r="I117" s="16" t="n"/>
      <c r="J117" s="16" t="n"/>
      <c r="K117" s="16" t="n"/>
    </row>
    <row r="118" ht="15.75" customHeight="1" s="20">
      <c r="D118" s="16" t="n"/>
      <c r="E118" s="16" t="n"/>
      <c r="F118" s="16" t="n"/>
      <c r="G118" s="16" t="n"/>
      <c r="H118" s="16" t="n"/>
      <c r="I118" s="16" t="n"/>
      <c r="J118" s="16" t="n"/>
      <c r="K118" s="16" t="n"/>
    </row>
    <row r="119" ht="15.75" customHeight="1" s="20">
      <c r="D119" s="16" t="n"/>
      <c r="E119" s="16" t="n"/>
      <c r="F119" s="16" t="n"/>
      <c r="G119" s="16" t="n"/>
      <c r="H119" s="16" t="n"/>
      <c r="I119" s="16" t="n"/>
      <c r="J119" s="16" t="n"/>
      <c r="K119" s="16" t="n"/>
    </row>
    <row r="120" ht="15.75" customHeight="1" s="20">
      <c r="D120" s="16" t="n"/>
      <c r="E120" s="16" t="n"/>
      <c r="F120" s="16" t="n"/>
      <c r="G120" s="16" t="n"/>
      <c r="H120" s="16" t="n"/>
      <c r="I120" s="16" t="n"/>
      <c r="J120" s="16" t="n"/>
      <c r="K120" s="16" t="n"/>
    </row>
    <row r="121" ht="15.75" customHeight="1" s="20">
      <c r="D121" s="16" t="n"/>
      <c r="E121" s="16" t="n"/>
      <c r="F121" s="16" t="n"/>
      <c r="G121" s="16" t="n"/>
      <c r="H121" s="16" t="n"/>
      <c r="I121" s="16" t="n"/>
      <c r="J121" s="16" t="n"/>
      <c r="K121" s="16" t="n"/>
    </row>
    <row r="122" ht="15.75" customHeight="1" s="20">
      <c r="D122" s="16" t="n"/>
      <c r="E122" s="16" t="n"/>
      <c r="F122" s="16" t="n"/>
      <c r="G122" s="16" t="n"/>
      <c r="H122" s="16" t="n"/>
      <c r="I122" s="16" t="n"/>
      <c r="J122" s="16" t="n"/>
      <c r="K122" s="16" t="n"/>
    </row>
    <row r="123" ht="15.75" customHeight="1" s="20">
      <c r="D123" s="16" t="n"/>
      <c r="E123" s="16" t="n"/>
      <c r="F123" s="16" t="n"/>
      <c r="G123" s="16" t="n"/>
      <c r="H123" s="16" t="n"/>
      <c r="I123" s="16" t="n"/>
      <c r="J123" s="16" t="n"/>
      <c r="K123" s="16" t="n"/>
    </row>
    <row r="124" ht="15.75" customHeight="1" s="20">
      <c r="D124" s="16" t="n"/>
      <c r="E124" s="16" t="n"/>
      <c r="F124" s="16" t="n"/>
      <c r="G124" s="16" t="n"/>
      <c r="H124" s="16" t="n"/>
      <c r="I124" s="16" t="n"/>
      <c r="J124" s="16" t="n"/>
      <c r="K124" s="16" t="n"/>
    </row>
    <row r="125" ht="15.75" customHeight="1" s="20">
      <c r="D125" s="16" t="n"/>
      <c r="E125" s="16" t="n"/>
      <c r="F125" s="16" t="n"/>
      <c r="G125" s="16" t="n"/>
      <c r="H125" s="16" t="n"/>
      <c r="I125" s="16" t="n"/>
      <c r="J125" s="16" t="n"/>
      <c r="K125" s="16" t="n"/>
    </row>
    <row r="126" ht="15.75" customHeight="1" s="20">
      <c r="D126" s="16" t="n"/>
      <c r="E126" s="16" t="n"/>
      <c r="F126" s="16" t="n"/>
      <c r="G126" s="16" t="n"/>
      <c r="H126" s="16" t="n"/>
      <c r="I126" s="16" t="n"/>
      <c r="J126" s="16" t="n"/>
      <c r="K126" s="16" t="n"/>
    </row>
    <row r="127" ht="15.75" customHeight="1" s="20">
      <c r="D127" s="16" t="n"/>
      <c r="E127" s="16" t="n"/>
      <c r="F127" s="16" t="n"/>
      <c r="G127" s="16" t="n"/>
      <c r="H127" s="16" t="n"/>
      <c r="I127" s="16" t="n"/>
      <c r="J127" s="16" t="n"/>
      <c r="K127" s="16" t="n"/>
    </row>
    <row r="128" ht="15.75" customHeight="1" s="20">
      <c r="D128" s="16" t="n"/>
      <c r="E128" s="16" t="n"/>
      <c r="F128" s="16" t="n"/>
      <c r="G128" s="16" t="n"/>
      <c r="H128" s="16" t="n"/>
      <c r="I128" s="16" t="n"/>
      <c r="J128" s="16" t="n"/>
      <c r="K128" s="16" t="n"/>
    </row>
    <row r="129" ht="15.75" customHeight="1" s="20">
      <c r="D129" s="16" t="n"/>
      <c r="E129" s="16" t="n"/>
      <c r="F129" s="16" t="n"/>
      <c r="G129" s="16" t="n"/>
      <c r="H129" s="16" t="n"/>
      <c r="I129" s="16" t="n"/>
      <c r="J129" s="16" t="n"/>
      <c r="K129" s="16" t="n"/>
    </row>
    <row r="130" ht="15.75" customHeight="1" s="20">
      <c r="D130" s="16" t="n"/>
      <c r="E130" s="16" t="n"/>
      <c r="F130" s="16" t="n"/>
      <c r="G130" s="16" t="n"/>
      <c r="H130" s="16" t="n"/>
      <c r="I130" s="16" t="n"/>
      <c r="J130" s="16" t="n"/>
      <c r="K130" s="16" t="n"/>
    </row>
    <row r="131" ht="15.75" customHeight="1" s="20">
      <c r="D131" s="16" t="n"/>
      <c r="E131" s="16" t="n"/>
      <c r="F131" s="16" t="n"/>
      <c r="G131" s="16" t="n"/>
      <c r="H131" s="16" t="n"/>
      <c r="I131" s="16" t="n"/>
      <c r="J131" s="16" t="n"/>
      <c r="K131" s="16" t="n"/>
    </row>
    <row r="132" ht="15.75" customHeight="1" s="20">
      <c r="D132" s="16" t="n"/>
      <c r="E132" s="16" t="n"/>
      <c r="F132" s="16" t="n"/>
      <c r="G132" s="16" t="n"/>
      <c r="H132" s="16" t="n"/>
      <c r="I132" s="16" t="n"/>
      <c r="J132" s="16" t="n"/>
      <c r="K132" s="16" t="n"/>
    </row>
    <row r="133" ht="15.75" customHeight="1" s="20">
      <c r="D133" s="16" t="n"/>
      <c r="E133" s="16" t="n"/>
      <c r="F133" s="16" t="n"/>
      <c r="G133" s="16" t="n"/>
      <c r="H133" s="16" t="n"/>
      <c r="I133" s="16" t="n"/>
      <c r="J133" s="16" t="n"/>
      <c r="K133" s="16" t="n"/>
    </row>
    <row r="134" ht="15.75" customHeight="1" s="20">
      <c r="D134" s="16" t="n"/>
      <c r="E134" s="16" t="n"/>
      <c r="F134" s="16" t="n"/>
      <c r="G134" s="16" t="n"/>
      <c r="H134" s="16" t="n"/>
      <c r="I134" s="16" t="n"/>
      <c r="J134" s="16" t="n"/>
      <c r="K134" s="16" t="n"/>
    </row>
    <row r="135" ht="15.75" customHeight="1" s="20">
      <c r="D135" s="16" t="n"/>
      <c r="E135" s="16" t="n"/>
      <c r="F135" s="16" t="n"/>
      <c r="G135" s="16" t="n"/>
      <c r="H135" s="16" t="n"/>
      <c r="I135" s="16" t="n"/>
      <c r="J135" s="16" t="n"/>
      <c r="K135" s="16" t="n"/>
    </row>
    <row r="136" ht="15.75" customHeight="1" s="20">
      <c r="D136" s="16" t="n"/>
      <c r="E136" s="16" t="n"/>
      <c r="F136" s="16" t="n"/>
      <c r="G136" s="16" t="n"/>
      <c r="H136" s="16" t="n"/>
      <c r="I136" s="16" t="n"/>
      <c r="J136" s="16" t="n"/>
      <c r="K136" s="16" t="n"/>
    </row>
    <row r="137" ht="15.75" customHeight="1" s="20">
      <c r="D137" s="16" t="n"/>
      <c r="E137" s="16" t="n"/>
      <c r="F137" s="16" t="n"/>
      <c r="G137" s="16" t="n"/>
      <c r="H137" s="16" t="n"/>
      <c r="I137" s="16" t="n"/>
      <c r="J137" s="16" t="n"/>
      <c r="K137" s="16" t="n"/>
    </row>
    <row r="138" ht="15.75" customHeight="1" s="20">
      <c r="D138" s="16" t="n"/>
      <c r="E138" s="16" t="n"/>
      <c r="F138" s="16" t="n"/>
      <c r="G138" s="16" t="n"/>
      <c r="H138" s="16" t="n"/>
      <c r="I138" s="16" t="n"/>
      <c r="J138" s="16" t="n"/>
      <c r="K138" s="16" t="n"/>
    </row>
    <row r="139" ht="15.75" customHeight="1" s="20">
      <c r="D139" s="16" t="n"/>
      <c r="E139" s="16" t="n"/>
      <c r="F139" s="16" t="n"/>
      <c r="G139" s="16" t="n"/>
      <c r="H139" s="16" t="n"/>
      <c r="I139" s="16" t="n"/>
      <c r="J139" s="16" t="n"/>
      <c r="K139" s="16" t="n"/>
    </row>
    <row r="140" ht="15.75" customHeight="1" s="20">
      <c r="D140" s="16" t="n"/>
      <c r="E140" s="16" t="n"/>
      <c r="F140" s="16" t="n"/>
      <c r="G140" s="16" t="n"/>
      <c r="H140" s="16" t="n"/>
      <c r="I140" s="16" t="n"/>
      <c r="J140" s="16" t="n"/>
      <c r="K140" s="16" t="n"/>
    </row>
    <row r="141" ht="15.75" customHeight="1" s="20">
      <c r="D141" s="16" t="n"/>
      <c r="E141" s="16" t="n"/>
      <c r="F141" s="16" t="n"/>
      <c r="G141" s="16" t="n"/>
      <c r="H141" s="16" t="n"/>
      <c r="I141" s="16" t="n"/>
      <c r="J141" s="16" t="n"/>
      <c r="K141" s="16" t="n"/>
    </row>
    <row r="142" ht="15.75" customHeight="1" s="20">
      <c r="D142" s="16" t="n"/>
      <c r="E142" s="16" t="n"/>
      <c r="F142" s="16" t="n"/>
      <c r="G142" s="16" t="n"/>
      <c r="H142" s="16" t="n"/>
      <c r="I142" s="16" t="n"/>
      <c r="J142" s="16" t="n"/>
      <c r="K142" s="16" t="n"/>
    </row>
    <row r="143" ht="15.75" customHeight="1" s="20">
      <c r="D143" s="16" t="n"/>
      <c r="E143" s="16" t="n"/>
      <c r="F143" s="16" t="n"/>
      <c r="G143" s="16" t="n"/>
      <c r="H143" s="16" t="n"/>
      <c r="I143" s="16" t="n"/>
      <c r="J143" s="16" t="n"/>
      <c r="K143" s="16" t="n"/>
    </row>
    <row r="144" ht="15.75" customHeight="1" s="20">
      <c r="D144" s="16" t="n"/>
      <c r="E144" s="16" t="n"/>
      <c r="F144" s="16" t="n"/>
      <c r="G144" s="16" t="n"/>
      <c r="H144" s="16" t="n"/>
      <c r="I144" s="16" t="n"/>
      <c r="J144" s="16" t="n"/>
      <c r="K144" s="16" t="n"/>
    </row>
    <row r="145" ht="15.75" customHeight="1" s="20">
      <c r="D145" s="16" t="n"/>
      <c r="E145" s="16" t="n"/>
      <c r="F145" s="16" t="n"/>
      <c r="G145" s="16" t="n"/>
      <c r="H145" s="16" t="n"/>
      <c r="I145" s="16" t="n"/>
      <c r="J145" s="16" t="n"/>
      <c r="K145" s="16" t="n"/>
    </row>
    <row r="146" ht="15.75" customHeight="1" s="20">
      <c r="D146" s="16" t="n"/>
      <c r="E146" s="16" t="n"/>
      <c r="F146" s="16" t="n"/>
      <c r="G146" s="16" t="n"/>
      <c r="H146" s="16" t="n"/>
      <c r="I146" s="16" t="n"/>
      <c r="J146" s="16" t="n"/>
      <c r="K146" s="16" t="n"/>
    </row>
    <row r="147" ht="15.75" customHeight="1" s="20">
      <c r="D147" s="16" t="n"/>
      <c r="E147" s="16" t="n"/>
      <c r="F147" s="16" t="n"/>
      <c r="G147" s="16" t="n"/>
      <c r="H147" s="16" t="n"/>
      <c r="I147" s="16" t="n"/>
      <c r="J147" s="16" t="n"/>
      <c r="K147" s="16" t="n"/>
    </row>
    <row r="148" ht="15.75" customHeight="1" s="20">
      <c r="D148" s="16" t="n"/>
      <c r="E148" s="16" t="n"/>
      <c r="F148" s="16" t="n"/>
      <c r="G148" s="16" t="n"/>
      <c r="H148" s="16" t="n"/>
      <c r="I148" s="16" t="n"/>
      <c r="J148" s="16" t="n"/>
      <c r="K148" s="16" t="n"/>
    </row>
    <row r="149" ht="15.75" customHeight="1" s="20">
      <c r="D149" s="16" t="n"/>
      <c r="E149" s="16" t="n"/>
      <c r="F149" s="16" t="n"/>
      <c r="G149" s="16" t="n"/>
      <c r="H149" s="16" t="n"/>
      <c r="I149" s="16" t="n"/>
      <c r="J149" s="16" t="n"/>
      <c r="K149" s="16" t="n"/>
    </row>
    <row r="150" ht="15.75" customHeight="1" s="20">
      <c r="D150" s="16" t="n"/>
      <c r="E150" s="16" t="n"/>
      <c r="F150" s="16" t="n"/>
      <c r="G150" s="16" t="n"/>
      <c r="H150" s="16" t="n"/>
      <c r="I150" s="16" t="n"/>
      <c r="J150" s="16" t="n"/>
      <c r="K150" s="16" t="n"/>
    </row>
    <row r="151" ht="15.75" customHeight="1" s="20">
      <c r="D151" s="16" t="n"/>
      <c r="E151" s="16" t="n"/>
      <c r="F151" s="16" t="n"/>
      <c r="G151" s="16" t="n"/>
      <c r="H151" s="16" t="n"/>
      <c r="I151" s="16" t="n"/>
      <c r="J151" s="16" t="n"/>
      <c r="K151" s="16" t="n"/>
    </row>
    <row r="152" ht="15.75" customHeight="1" s="20">
      <c r="D152" s="16" t="n"/>
      <c r="E152" s="16" t="n"/>
      <c r="F152" s="16" t="n"/>
      <c r="G152" s="16" t="n"/>
      <c r="H152" s="16" t="n"/>
      <c r="I152" s="16" t="n"/>
      <c r="J152" s="16" t="n"/>
      <c r="K152" s="16" t="n"/>
    </row>
    <row r="153" ht="15.75" customHeight="1" s="20">
      <c r="D153" s="16" t="n"/>
      <c r="E153" s="16" t="n"/>
      <c r="F153" s="16" t="n"/>
      <c r="G153" s="16" t="n"/>
      <c r="H153" s="16" t="n"/>
      <c r="I153" s="16" t="n"/>
      <c r="J153" s="16" t="n"/>
      <c r="K153" s="16" t="n"/>
    </row>
    <row r="154" ht="15.75" customHeight="1" s="20">
      <c r="D154" s="16" t="n"/>
      <c r="E154" s="16" t="n"/>
      <c r="F154" s="16" t="n"/>
      <c r="G154" s="16" t="n"/>
      <c r="H154" s="16" t="n"/>
      <c r="I154" s="16" t="n"/>
      <c r="J154" s="16" t="n"/>
      <c r="K154" s="16" t="n"/>
    </row>
    <row r="155" ht="15.75" customHeight="1" s="20">
      <c r="D155" s="16" t="n"/>
      <c r="E155" s="16" t="n"/>
      <c r="F155" s="16" t="n"/>
      <c r="G155" s="16" t="n"/>
      <c r="H155" s="16" t="n"/>
      <c r="I155" s="16" t="n"/>
      <c r="J155" s="16" t="n"/>
      <c r="K155" s="16" t="n"/>
    </row>
    <row r="156" ht="15.75" customHeight="1" s="20">
      <c r="D156" s="16" t="n"/>
      <c r="E156" s="16" t="n"/>
      <c r="F156" s="16" t="n"/>
      <c r="G156" s="16" t="n"/>
      <c r="H156" s="16" t="n"/>
      <c r="I156" s="16" t="n"/>
      <c r="J156" s="16" t="n"/>
      <c r="K156" s="16" t="n"/>
    </row>
    <row r="157" ht="15.75" customHeight="1" s="20">
      <c r="D157" s="16" t="n"/>
      <c r="E157" s="16" t="n"/>
      <c r="F157" s="16" t="n"/>
      <c r="G157" s="16" t="n"/>
      <c r="H157" s="16" t="n"/>
      <c r="I157" s="16" t="n"/>
      <c r="J157" s="16" t="n"/>
      <c r="K157" s="16" t="n"/>
    </row>
    <row r="158" ht="15.75" customHeight="1" s="20">
      <c r="D158" s="16" t="n"/>
      <c r="E158" s="16" t="n"/>
      <c r="F158" s="16" t="n"/>
      <c r="G158" s="16" t="n"/>
      <c r="H158" s="16" t="n"/>
      <c r="I158" s="16" t="n"/>
      <c r="J158" s="16" t="n"/>
      <c r="K158" s="16" t="n"/>
    </row>
    <row r="159" ht="15.75" customHeight="1" s="20">
      <c r="D159" s="16" t="n"/>
      <c r="E159" s="16" t="n"/>
      <c r="F159" s="16" t="n"/>
      <c r="G159" s="16" t="n"/>
      <c r="H159" s="16" t="n"/>
      <c r="I159" s="16" t="n"/>
      <c r="J159" s="16" t="n"/>
      <c r="K159" s="16" t="n"/>
    </row>
    <row r="160" ht="15.75" customHeight="1" s="20">
      <c r="D160" s="16" t="n"/>
      <c r="E160" s="16" t="n"/>
      <c r="F160" s="16" t="n"/>
      <c r="G160" s="16" t="n"/>
      <c r="H160" s="16" t="n"/>
      <c r="I160" s="16" t="n"/>
      <c r="J160" s="16" t="n"/>
      <c r="K160" s="16" t="n"/>
    </row>
    <row r="161" ht="15.75" customHeight="1" s="20">
      <c r="D161" s="16" t="n"/>
      <c r="E161" s="16" t="n"/>
      <c r="F161" s="16" t="n"/>
      <c r="G161" s="16" t="n"/>
      <c r="H161" s="16" t="n"/>
      <c r="I161" s="16" t="n"/>
      <c r="J161" s="16" t="n"/>
      <c r="K161" s="16" t="n"/>
    </row>
    <row r="162" ht="15.75" customHeight="1" s="20">
      <c r="D162" s="16" t="n"/>
      <c r="E162" s="16" t="n"/>
      <c r="F162" s="16" t="n"/>
      <c r="G162" s="16" t="n"/>
      <c r="H162" s="16" t="n"/>
      <c r="I162" s="16" t="n"/>
      <c r="J162" s="16" t="n"/>
      <c r="K162" s="16" t="n"/>
    </row>
    <row r="163" ht="15.75" customHeight="1" s="20">
      <c r="D163" s="16" t="n"/>
      <c r="E163" s="16" t="n"/>
      <c r="F163" s="16" t="n"/>
      <c r="G163" s="16" t="n"/>
      <c r="H163" s="16" t="n"/>
      <c r="I163" s="16" t="n"/>
      <c r="J163" s="16" t="n"/>
      <c r="K163" s="16" t="n"/>
    </row>
    <row r="164" ht="15.75" customHeight="1" s="20">
      <c r="D164" s="16" t="n"/>
      <c r="E164" s="16" t="n"/>
      <c r="F164" s="16" t="n"/>
      <c r="G164" s="16" t="n"/>
      <c r="H164" s="16" t="n"/>
      <c r="I164" s="16" t="n"/>
      <c r="J164" s="16" t="n"/>
      <c r="K164" s="16" t="n"/>
    </row>
    <row r="165" ht="15.75" customHeight="1" s="20">
      <c r="D165" s="16" t="n"/>
      <c r="E165" s="16" t="n"/>
      <c r="F165" s="16" t="n"/>
      <c r="G165" s="16" t="n"/>
      <c r="H165" s="16" t="n"/>
      <c r="I165" s="16" t="n"/>
      <c r="J165" s="16" t="n"/>
      <c r="K165" s="16" t="n"/>
    </row>
    <row r="166" ht="15.75" customHeight="1" s="20">
      <c r="D166" s="16" t="n"/>
      <c r="E166" s="16" t="n"/>
      <c r="F166" s="16" t="n"/>
      <c r="G166" s="16" t="n"/>
      <c r="H166" s="16" t="n"/>
      <c r="I166" s="16" t="n"/>
      <c r="J166" s="16" t="n"/>
      <c r="K166" s="16" t="n"/>
    </row>
    <row r="167" ht="15.75" customHeight="1" s="20">
      <c r="D167" s="16" t="n"/>
      <c r="E167" s="16" t="n"/>
      <c r="F167" s="16" t="n"/>
      <c r="G167" s="16" t="n"/>
      <c r="H167" s="16" t="n"/>
      <c r="I167" s="16" t="n"/>
      <c r="J167" s="16" t="n"/>
      <c r="K167" s="16" t="n"/>
    </row>
    <row r="168" ht="15.75" customHeight="1" s="20">
      <c r="D168" s="16" t="n"/>
      <c r="E168" s="16" t="n"/>
      <c r="F168" s="16" t="n"/>
      <c r="G168" s="16" t="n"/>
      <c r="H168" s="16" t="n"/>
      <c r="I168" s="16" t="n"/>
      <c r="J168" s="16" t="n"/>
      <c r="K168" s="16" t="n"/>
    </row>
    <row r="169" ht="15.75" customHeight="1" s="20">
      <c r="D169" s="16" t="n"/>
      <c r="E169" s="16" t="n"/>
      <c r="F169" s="16" t="n"/>
      <c r="G169" s="16" t="n"/>
      <c r="H169" s="16" t="n"/>
      <c r="I169" s="16" t="n"/>
      <c r="J169" s="16" t="n"/>
      <c r="K169" s="16" t="n"/>
    </row>
    <row r="170" ht="15.75" customHeight="1" s="20">
      <c r="D170" s="16" t="n"/>
      <c r="E170" s="16" t="n"/>
      <c r="F170" s="16" t="n"/>
      <c r="G170" s="16" t="n"/>
      <c r="H170" s="16" t="n"/>
      <c r="I170" s="16" t="n"/>
      <c r="J170" s="16" t="n"/>
      <c r="K170" s="16" t="n"/>
    </row>
    <row r="171" ht="15.75" customHeight="1" s="20">
      <c r="D171" s="16" t="n"/>
      <c r="E171" s="16" t="n"/>
      <c r="F171" s="16" t="n"/>
      <c r="G171" s="16" t="n"/>
      <c r="H171" s="16" t="n"/>
      <c r="I171" s="16" t="n"/>
      <c r="J171" s="16" t="n"/>
      <c r="K171" s="16" t="n"/>
    </row>
    <row r="172" ht="15.75" customHeight="1" s="20">
      <c r="D172" s="16" t="n"/>
      <c r="E172" s="16" t="n"/>
      <c r="F172" s="16" t="n"/>
      <c r="G172" s="16" t="n"/>
      <c r="H172" s="16" t="n"/>
      <c r="I172" s="16" t="n"/>
      <c r="J172" s="16" t="n"/>
      <c r="K172" s="16" t="n"/>
    </row>
    <row r="173" ht="15.75" customHeight="1" s="20">
      <c r="D173" s="16" t="n"/>
      <c r="E173" s="16" t="n"/>
      <c r="F173" s="16" t="n"/>
      <c r="G173" s="16" t="n"/>
      <c r="H173" s="16" t="n"/>
      <c r="I173" s="16" t="n"/>
      <c r="J173" s="16" t="n"/>
      <c r="K173" s="16" t="n"/>
    </row>
    <row r="174" ht="15.75" customHeight="1" s="20">
      <c r="D174" s="16" t="n"/>
      <c r="E174" s="16" t="n"/>
      <c r="F174" s="16" t="n"/>
      <c r="G174" s="16" t="n"/>
      <c r="H174" s="16" t="n"/>
      <c r="I174" s="16" t="n"/>
      <c r="J174" s="16" t="n"/>
      <c r="K174" s="16" t="n"/>
    </row>
    <row r="175" ht="15.75" customHeight="1" s="20">
      <c r="D175" s="16" t="n"/>
      <c r="E175" s="16" t="n"/>
      <c r="F175" s="16" t="n"/>
      <c r="G175" s="16" t="n"/>
      <c r="H175" s="16" t="n"/>
      <c r="I175" s="16" t="n"/>
      <c r="J175" s="16" t="n"/>
      <c r="K175" s="16" t="n"/>
    </row>
    <row r="176" ht="15.75" customHeight="1" s="20">
      <c r="D176" s="16" t="n"/>
      <c r="E176" s="16" t="n"/>
      <c r="F176" s="16" t="n"/>
      <c r="G176" s="16" t="n"/>
      <c r="H176" s="16" t="n"/>
      <c r="I176" s="16" t="n"/>
      <c r="J176" s="16" t="n"/>
      <c r="K176" s="16" t="n"/>
    </row>
    <row r="177" ht="15.75" customHeight="1" s="20">
      <c r="D177" s="16" t="n"/>
      <c r="E177" s="16" t="n"/>
      <c r="F177" s="16" t="n"/>
      <c r="G177" s="16" t="n"/>
      <c r="H177" s="16" t="n"/>
      <c r="I177" s="16" t="n"/>
      <c r="J177" s="16" t="n"/>
      <c r="K177" s="16" t="n"/>
    </row>
    <row r="178" ht="15.75" customHeight="1" s="20">
      <c r="D178" s="16" t="n"/>
      <c r="E178" s="16" t="n"/>
      <c r="F178" s="16" t="n"/>
      <c r="G178" s="16" t="n"/>
      <c r="H178" s="16" t="n"/>
      <c r="I178" s="16" t="n"/>
      <c r="J178" s="16" t="n"/>
      <c r="K178" s="16" t="n"/>
    </row>
    <row r="179" ht="15.75" customHeight="1" s="20">
      <c r="D179" s="16" t="n"/>
      <c r="E179" s="16" t="n"/>
      <c r="F179" s="16" t="n"/>
      <c r="G179" s="16" t="n"/>
      <c r="H179" s="16" t="n"/>
      <c r="I179" s="16" t="n"/>
      <c r="J179" s="16" t="n"/>
      <c r="K179" s="16" t="n"/>
    </row>
    <row r="180" ht="15.75" customHeight="1" s="20">
      <c r="D180" s="16" t="n"/>
      <c r="E180" s="16" t="n"/>
      <c r="F180" s="16" t="n"/>
      <c r="G180" s="16" t="n"/>
      <c r="H180" s="16" t="n"/>
      <c r="I180" s="16" t="n"/>
      <c r="J180" s="16" t="n"/>
      <c r="K180" s="16" t="n"/>
    </row>
    <row r="181" ht="15.75" customHeight="1" s="20">
      <c r="D181" s="16" t="n"/>
      <c r="E181" s="16" t="n"/>
      <c r="F181" s="16" t="n"/>
      <c r="G181" s="16" t="n"/>
      <c r="H181" s="16" t="n"/>
      <c r="I181" s="16" t="n"/>
      <c r="J181" s="16" t="n"/>
      <c r="K181" s="16" t="n"/>
    </row>
    <row r="182" ht="15.75" customHeight="1" s="20">
      <c r="D182" s="16" t="n"/>
      <c r="E182" s="16" t="n"/>
      <c r="F182" s="16" t="n"/>
      <c r="G182" s="16" t="n"/>
      <c r="H182" s="16" t="n"/>
      <c r="I182" s="16" t="n"/>
      <c r="J182" s="16" t="n"/>
      <c r="K182" s="16" t="n"/>
    </row>
    <row r="183" ht="15.75" customHeight="1" s="20">
      <c r="D183" s="16" t="n"/>
      <c r="E183" s="16" t="n"/>
      <c r="F183" s="16" t="n"/>
      <c r="G183" s="16" t="n"/>
      <c r="H183" s="16" t="n"/>
      <c r="I183" s="16" t="n"/>
      <c r="J183" s="16" t="n"/>
      <c r="K183" s="16" t="n"/>
    </row>
    <row r="184" ht="15.75" customHeight="1" s="20">
      <c r="D184" s="16" t="n"/>
      <c r="E184" s="16" t="n"/>
      <c r="F184" s="16" t="n"/>
      <c r="G184" s="16" t="n"/>
      <c r="H184" s="16" t="n"/>
      <c r="I184" s="16" t="n"/>
      <c r="J184" s="16" t="n"/>
      <c r="K184" s="16" t="n"/>
    </row>
    <row r="185" ht="15.75" customHeight="1" s="20">
      <c r="D185" s="16" t="n"/>
      <c r="E185" s="16" t="n"/>
      <c r="F185" s="16" t="n"/>
      <c r="G185" s="16" t="n"/>
      <c r="H185" s="16" t="n"/>
      <c r="I185" s="16" t="n"/>
      <c r="J185" s="16" t="n"/>
      <c r="K185" s="16" t="n"/>
    </row>
    <row r="186" ht="15.75" customHeight="1" s="20">
      <c r="D186" s="16" t="n"/>
      <c r="E186" s="16" t="n"/>
      <c r="F186" s="16" t="n"/>
      <c r="G186" s="16" t="n"/>
      <c r="H186" s="16" t="n"/>
      <c r="I186" s="16" t="n"/>
      <c r="J186" s="16" t="n"/>
      <c r="K186" s="16" t="n"/>
    </row>
    <row r="187" ht="15.75" customHeight="1" s="20">
      <c r="D187" s="16" t="n"/>
      <c r="E187" s="16" t="n"/>
      <c r="F187" s="16" t="n"/>
      <c r="G187" s="16" t="n"/>
      <c r="H187" s="16" t="n"/>
      <c r="I187" s="16" t="n"/>
      <c r="J187" s="16" t="n"/>
      <c r="K187" s="16" t="n"/>
    </row>
    <row r="188" ht="15.75" customHeight="1" s="20">
      <c r="D188" s="16" t="n"/>
      <c r="E188" s="16" t="n"/>
      <c r="F188" s="16" t="n"/>
      <c r="G188" s="16" t="n"/>
      <c r="H188" s="16" t="n"/>
      <c r="I188" s="16" t="n"/>
      <c r="J188" s="16" t="n"/>
      <c r="K188" s="16" t="n"/>
    </row>
    <row r="189" ht="15.75" customHeight="1" s="20">
      <c r="D189" s="16" t="n"/>
      <c r="E189" s="16" t="n"/>
      <c r="F189" s="16" t="n"/>
      <c r="G189" s="16" t="n"/>
      <c r="H189" s="16" t="n"/>
      <c r="I189" s="16" t="n"/>
      <c r="J189" s="16" t="n"/>
      <c r="K189" s="16" t="n"/>
    </row>
    <row r="190" ht="15.75" customHeight="1" s="20">
      <c r="D190" s="16" t="n"/>
      <c r="E190" s="16" t="n"/>
      <c r="F190" s="16" t="n"/>
      <c r="G190" s="16" t="n"/>
      <c r="H190" s="16" t="n"/>
      <c r="I190" s="16" t="n"/>
      <c r="J190" s="16" t="n"/>
      <c r="K190" s="16" t="n"/>
    </row>
    <row r="191" ht="15.75" customHeight="1" s="20">
      <c r="D191" s="16" t="n"/>
      <c r="E191" s="16" t="n"/>
      <c r="F191" s="16" t="n"/>
      <c r="G191" s="16" t="n"/>
      <c r="H191" s="16" t="n"/>
      <c r="I191" s="16" t="n"/>
      <c r="J191" s="16" t="n"/>
      <c r="K191" s="16" t="n"/>
    </row>
    <row r="192" ht="15.75" customHeight="1" s="20">
      <c r="D192" s="16" t="n"/>
      <c r="E192" s="16" t="n"/>
      <c r="F192" s="16" t="n"/>
      <c r="G192" s="16" t="n"/>
      <c r="H192" s="16" t="n"/>
      <c r="I192" s="16" t="n"/>
      <c r="J192" s="16" t="n"/>
      <c r="K192" s="16" t="n"/>
    </row>
    <row r="193" ht="15.75" customHeight="1" s="20">
      <c r="D193" s="16" t="n"/>
      <c r="E193" s="16" t="n"/>
      <c r="F193" s="16" t="n"/>
      <c r="G193" s="16" t="n"/>
      <c r="H193" s="16" t="n"/>
      <c r="I193" s="16" t="n"/>
      <c r="J193" s="16" t="n"/>
      <c r="K193" s="16" t="n"/>
    </row>
    <row r="194" ht="15.75" customHeight="1" s="20">
      <c r="D194" s="16" t="n"/>
      <c r="E194" s="16" t="n"/>
      <c r="F194" s="16" t="n"/>
      <c r="G194" s="16" t="n"/>
      <c r="H194" s="16" t="n"/>
      <c r="I194" s="16" t="n"/>
      <c r="J194" s="16" t="n"/>
      <c r="K194" s="16" t="n"/>
    </row>
    <row r="195" ht="15.75" customHeight="1" s="20">
      <c r="D195" s="16" t="n"/>
      <c r="E195" s="16" t="n"/>
      <c r="F195" s="16" t="n"/>
      <c r="G195" s="16" t="n"/>
      <c r="H195" s="16" t="n"/>
      <c r="I195" s="16" t="n"/>
      <c r="J195" s="16" t="n"/>
      <c r="K195" s="16" t="n"/>
    </row>
    <row r="196" ht="15.75" customHeight="1" s="20">
      <c r="D196" s="16" t="n"/>
      <c r="E196" s="16" t="n"/>
      <c r="F196" s="16" t="n"/>
      <c r="G196" s="16" t="n"/>
      <c r="H196" s="16" t="n"/>
      <c r="I196" s="16" t="n"/>
      <c r="J196" s="16" t="n"/>
      <c r="K196" s="16" t="n"/>
    </row>
    <row r="197" ht="15.75" customHeight="1" s="20">
      <c r="D197" s="16" t="n"/>
      <c r="E197" s="16" t="n"/>
      <c r="F197" s="16" t="n"/>
      <c r="G197" s="16" t="n"/>
      <c r="H197" s="16" t="n"/>
      <c r="I197" s="16" t="n"/>
      <c r="J197" s="16" t="n"/>
      <c r="K197" s="16" t="n"/>
    </row>
    <row r="198" ht="15.75" customHeight="1" s="20">
      <c r="D198" s="16" t="n"/>
      <c r="E198" s="16" t="n"/>
      <c r="F198" s="16" t="n"/>
      <c r="G198" s="16" t="n"/>
      <c r="H198" s="16" t="n"/>
      <c r="I198" s="16" t="n"/>
      <c r="J198" s="16" t="n"/>
      <c r="K198" s="16" t="n"/>
    </row>
    <row r="199" ht="15.75" customHeight="1" s="20">
      <c r="D199" s="16" t="n"/>
      <c r="E199" s="16" t="n"/>
      <c r="F199" s="16" t="n"/>
      <c r="G199" s="16" t="n"/>
      <c r="H199" s="16" t="n"/>
      <c r="I199" s="16" t="n"/>
      <c r="J199" s="16" t="n"/>
      <c r="K199" s="16" t="n"/>
    </row>
    <row r="200" ht="15.75" customHeight="1" s="20">
      <c r="D200" s="16" t="n"/>
      <c r="E200" s="16" t="n"/>
      <c r="F200" s="16" t="n"/>
      <c r="G200" s="16" t="n"/>
      <c r="H200" s="16" t="n"/>
      <c r="I200" s="16" t="n"/>
      <c r="J200" s="16" t="n"/>
      <c r="K200" s="16" t="n"/>
    </row>
    <row r="201" ht="15.75" customHeight="1" s="20">
      <c r="D201" s="16" t="n"/>
      <c r="E201" s="16" t="n"/>
      <c r="F201" s="16" t="n"/>
      <c r="G201" s="16" t="n"/>
      <c r="H201" s="16" t="n"/>
      <c r="I201" s="16" t="n"/>
      <c r="J201" s="16" t="n"/>
      <c r="K201" s="16" t="n"/>
    </row>
    <row r="202" ht="15.75" customHeight="1" s="20">
      <c r="D202" s="16" t="n"/>
      <c r="E202" s="16" t="n"/>
      <c r="F202" s="16" t="n"/>
      <c r="G202" s="16" t="n"/>
      <c r="H202" s="16" t="n"/>
      <c r="I202" s="16" t="n"/>
      <c r="J202" s="16" t="n"/>
      <c r="K202" s="16" t="n"/>
    </row>
    <row r="203" ht="15.75" customHeight="1" s="20">
      <c r="D203" s="16" t="n"/>
      <c r="E203" s="16" t="n"/>
      <c r="F203" s="16" t="n"/>
      <c r="G203" s="16" t="n"/>
      <c r="H203" s="16" t="n"/>
      <c r="I203" s="16" t="n"/>
      <c r="J203" s="16" t="n"/>
      <c r="K203" s="16" t="n"/>
    </row>
    <row r="204" ht="15.75" customHeight="1" s="20">
      <c r="D204" s="16" t="n"/>
      <c r="E204" s="16" t="n"/>
      <c r="F204" s="16" t="n"/>
      <c r="G204" s="16" t="n"/>
      <c r="H204" s="16" t="n"/>
      <c r="I204" s="16" t="n"/>
      <c r="J204" s="16" t="n"/>
      <c r="K204" s="16" t="n"/>
    </row>
    <row r="205" ht="15.75" customHeight="1" s="20">
      <c r="D205" s="16" t="n"/>
      <c r="E205" s="16" t="n"/>
      <c r="F205" s="16" t="n"/>
      <c r="G205" s="16" t="n"/>
      <c r="H205" s="16" t="n"/>
      <c r="I205" s="16" t="n"/>
      <c r="J205" s="16" t="n"/>
      <c r="K205" s="16" t="n"/>
    </row>
    <row r="206" ht="15.75" customHeight="1" s="20">
      <c r="D206" s="16" t="n"/>
      <c r="E206" s="16" t="n"/>
      <c r="F206" s="16" t="n"/>
      <c r="G206" s="16" t="n"/>
      <c r="H206" s="16" t="n"/>
      <c r="I206" s="16" t="n"/>
      <c r="J206" s="16" t="n"/>
      <c r="K206" s="16" t="n"/>
    </row>
    <row r="207" ht="15.75" customHeight="1" s="20">
      <c r="D207" s="16" t="n"/>
      <c r="E207" s="16" t="n"/>
      <c r="F207" s="16" t="n"/>
      <c r="G207" s="16" t="n"/>
      <c r="H207" s="16" t="n"/>
      <c r="I207" s="16" t="n"/>
      <c r="J207" s="16" t="n"/>
      <c r="K207" s="16" t="n"/>
    </row>
    <row r="208" ht="15.75" customHeight="1" s="20">
      <c r="D208" s="16" t="n"/>
      <c r="E208" s="16" t="n"/>
      <c r="F208" s="16" t="n"/>
      <c r="G208" s="16" t="n"/>
      <c r="H208" s="16" t="n"/>
      <c r="I208" s="16" t="n"/>
      <c r="J208" s="16" t="n"/>
      <c r="K208" s="16" t="n"/>
    </row>
    <row r="209" ht="15.75" customHeight="1" s="20">
      <c r="D209" s="16" t="n"/>
      <c r="E209" s="16" t="n"/>
      <c r="F209" s="16" t="n"/>
      <c r="G209" s="16" t="n"/>
      <c r="H209" s="16" t="n"/>
      <c r="I209" s="16" t="n"/>
      <c r="J209" s="16" t="n"/>
      <c r="K209" s="16" t="n"/>
    </row>
    <row r="210" ht="15.75" customHeight="1" s="20">
      <c r="D210" s="16" t="n"/>
      <c r="E210" s="16" t="n"/>
      <c r="F210" s="16" t="n"/>
      <c r="G210" s="16" t="n"/>
      <c r="H210" s="16" t="n"/>
      <c r="I210" s="16" t="n"/>
      <c r="J210" s="16" t="n"/>
      <c r="K210" s="16" t="n"/>
    </row>
    <row r="211" ht="15.75" customHeight="1" s="20">
      <c r="D211" s="16" t="n"/>
      <c r="E211" s="16" t="n"/>
      <c r="F211" s="16" t="n"/>
      <c r="G211" s="16" t="n"/>
      <c r="H211" s="16" t="n"/>
      <c r="I211" s="16" t="n"/>
      <c r="J211" s="16" t="n"/>
      <c r="K211" s="16" t="n"/>
    </row>
    <row r="212" ht="15.75" customHeight="1" s="20">
      <c r="D212" s="16" t="n"/>
      <c r="E212" s="16" t="n"/>
      <c r="F212" s="16" t="n"/>
      <c r="G212" s="16" t="n"/>
      <c r="H212" s="16" t="n"/>
      <c r="I212" s="16" t="n"/>
      <c r="J212" s="16" t="n"/>
      <c r="K212" s="16" t="n"/>
    </row>
    <row r="213" ht="15.75" customHeight="1" s="20">
      <c r="D213" s="16" t="n"/>
      <c r="E213" s="16" t="n"/>
      <c r="F213" s="16" t="n"/>
      <c r="G213" s="16" t="n"/>
      <c r="H213" s="16" t="n"/>
      <c r="I213" s="16" t="n"/>
      <c r="J213" s="16" t="n"/>
      <c r="K213" s="16" t="n"/>
    </row>
    <row r="214" ht="15.75" customHeight="1" s="20">
      <c r="D214" s="16" t="n"/>
      <c r="E214" s="16" t="n"/>
      <c r="F214" s="16" t="n"/>
      <c r="G214" s="16" t="n"/>
      <c r="H214" s="16" t="n"/>
      <c r="I214" s="16" t="n"/>
      <c r="J214" s="16" t="n"/>
      <c r="K214" s="16" t="n"/>
    </row>
    <row r="215" ht="15.75" customHeight="1" s="20">
      <c r="D215" s="16" t="n"/>
      <c r="E215" s="16" t="n"/>
      <c r="F215" s="16" t="n"/>
      <c r="G215" s="16" t="n"/>
      <c r="H215" s="16" t="n"/>
      <c r="I215" s="16" t="n"/>
      <c r="J215" s="16" t="n"/>
      <c r="K215" s="16" t="n"/>
    </row>
    <row r="216" ht="15.75" customHeight="1" s="20">
      <c r="D216" s="16" t="n"/>
      <c r="E216" s="16" t="n"/>
      <c r="F216" s="16" t="n"/>
      <c r="G216" s="16" t="n"/>
      <c r="H216" s="16" t="n"/>
      <c r="I216" s="16" t="n"/>
      <c r="J216" s="16" t="n"/>
      <c r="K216" s="16" t="n"/>
    </row>
    <row r="217" ht="15.75" customHeight="1" s="20">
      <c r="D217" s="16" t="n"/>
      <c r="E217" s="16" t="n"/>
      <c r="F217" s="16" t="n"/>
      <c r="G217" s="16" t="n"/>
      <c r="H217" s="16" t="n"/>
      <c r="I217" s="16" t="n"/>
      <c r="J217" s="16" t="n"/>
      <c r="K217" s="16" t="n"/>
    </row>
    <row r="218" ht="15.75" customHeight="1" s="20">
      <c r="D218" s="16" t="n"/>
      <c r="E218" s="16" t="n"/>
      <c r="F218" s="16" t="n"/>
      <c r="G218" s="16" t="n"/>
      <c r="H218" s="16" t="n"/>
      <c r="I218" s="16" t="n"/>
      <c r="J218" s="16" t="n"/>
      <c r="K218" s="16" t="n"/>
    </row>
    <row r="219" ht="15.75" customHeight="1" s="20">
      <c r="D219" s="16" t="n"/>
      <c r="E219" s="16" t="n"/>
      <c r="F219" s="16" t="n"/>
      <c r="G219" s="16" t="n"/>
      <c r="H219" s="16" t="n"/>
      <c r="I219" s="16" t="n"/>
      <c r="J219" s="16" t="n"/>
      <c r="K219" s="16" t="n"/>
    </row>
    <row r="220" ht="15.75" customHeight="1" s="20">
      <c r="D220" s="16" t="n"/>
      <c r="E220" s="16" t="n"/>
      <c r="F220" s="16" t="n"/>
      <c r="G220" s="16" t="n"/>
      <c r="H220" s="16" t="n"/>
      <c r="I220" s="16" t="n"/>
      <c r="J220" s="16" t="n"/>
      <c r="K220" s="16" t="n"/>
    </row>
    <row r="221" ht="15.75" customHeight="1" s="20">
      <c r="D221" s="16" t="n"/>
      <c r="E221" s="16" t="n"/>
      <c r="F221" s="16" t="n"/>
      <c r="G221" s="16" t="n"/>
      <c r="H221" s="16" t="n"/>
      <c r="I221" s="16" t="n"/>
      <c r="J221" s="16" t="n"/>
      <c r="K221" s="16" t="n"/>
    </row>
    <row r="222" ht="15.75" customHeight="1" s="20">
      <c r="D222" s="16" t="n"/>
      <c r="E222" s="16" t="n"/>
      <c r="F222" s="16" t="n"/>
      <c r="G222" s="16" t="n"/>
      <c r="H222" s="16" t="n"/>
      <c r="I222" s="16" t="n"/>
      <c r="J222" s="16" t="n"/>
      <c r="K222" s="16" t="n"/>
    </row>
    <row r="223" ht="15.75" customHeight="1" s="20">
      <c r="D223" s="16" t="n"/>
      <c r="E223" s="16" t="n"/>
      <c r="F223" s="16" t="n"/>
      <c r="G223" s="16" t="n"/>
      <c r="H223" s="16" t="n"/>
      <c r="I223" s="16" t="n"/>
      <c r="J223" s="16" t="n"/>
      <c r="K223" s="16" t="n"/>
    </row>
    <row r="224" ht="15.75" customHeight="1" s="20">
      <c r="D224" s="16" t="n"/>
      <c r="E224" s="16" t="n"/>
      <c r="F224" s="16" t="n"/>
      <c r="G224" s="16" t="n"/>
      <c r="H224" s="16" t="n"/>
      <c r="I224" s="16" t="n"/>
      <c r="J224" s="16" t="n"/>
      <c r="K224" s="16" t="n"/>
    </row>
    <row r="225" ht="15.75" customHeight="1" s="20">
      <c r="D225" s="16" t="n"/>
      <c r="E225" s="16" t="n"/>
      <c r="F225" s="16" t="n"/>
      <c r="G225" s="16" t="n"/>
      <c r="H225" s="16" t="n"/>
      <c r="I225" s="16" t="n"/>
      <c r="J225" s="16" t="n"/>
      <c r="K225" s="16" t="n"/>
    </row>
    <row r="226" ht="15.75" customHeight="1" s="20">
      <c r="D226" s="16" t="n"/>
      <c r="E226" s="16" t="n"/>
      <c r="F226" s="16" t="n"/>
      <c r="G226" s="16" t="n"/>
      <c r="H226" s="16" t="n"/>
      <c r="I226" s="16" t="n"/>
      <c r="J226" s="16" t="n"/>
      <c r="K226" s="16" t="n"/>
    </row>
    <row r="227" ht="15.75" customHeight="1" s="20">
      <c r="D227" s="16" t="n"/>
      <c r="E227" s="16" t="n"/>
      <c r="F227" s="16" t="n"/>
      <c r="G227" s="16" t="n"/>
      <c r="H227" s="16" t="n"/>
      <c r="I227" s="16" t="n"/>
      <c r="J227" s="16" t="n"/>
      <c r="K227" s="16" t="n"/>
    </row>
    <row r="228" ht="15.75" customHeight="1" s="20">
      <c r="D228" s="16" t="n"/>
      <c r="E228" s="16" t="n"/>
      <c r="F228" s="16" t="n"/>
      <c r="G228" s="16" t="n"/>
      <c r="H228" s="16" t="n"/>
      <c r="I228" s="16" t="n"/>
      <c r="J228" s="16" t="n"/>
      <c r="K228" s="16" t="n"/>
    </row>
    <row r="229" ht="15.75" customHeight="1" s="20">
      <c r="D229" s="16" t="n"/>
      <c r="E229" s="16" t="n"/>
      <c r="F229" s="16" t="n"/>
      <c r="G229" s="16" t="n"/>
      <c r="H229" s="16" t="n"/>
      <c r="I229" s="16" t="n"/>
      <c r="J229" s="16" t="n"/>
      <c r="K229" s="16" t="n"/>
    </row>
    <row r="230" ht="15.75" customHeight="1" s="20">
      <c r="D230" s="16" t="n"/>
      <c r="E230" s="16" t="n"/>
      <c r="F230" s="16" t="n"/>
      <c r="G230" s="16" t="n"/>
      <c r="H230" s="16" t="n"/>
      <c r="I230" s="16" t="n"/>
      <c r="J230" s="16" t="n"/>
      <c r="K230" s="16" t="n"/>
    </row>
    <row r="231" ht="15.75" customHeight="1" s="20">
      <c r="D231" s="16" t="n"/>
      <c r="E231" s="16" t="n"/>
      <c r="F231" s="16" t="n"/>
      <c r="G231" s="16" t="n"/>
      <c r="H231" s="16" t="n"/>
      <c r="I231" s="16" t="n"/>
      <c r="J231" s="16" t="n"/>
      <c r="K231" s="16" t="n"/>
    </row>
    <row r="232" ht="15.75" customHeight="1" s="20">
      <c r="D232" s="16" t="n"/>
      <c r="E232" s="16" t="n"/>
      <c r="F232" s="16" t="n"/>
      <c r="G232" s="16" t="n"/>
      <c r="H232" s="16" t="n"/>
      <c r="I232" s="16" t="n"/>
      <c r="J232" s="16" t="n"/>
      <c r="K232" s="16" t="n"/>
    </row>
    <row r="233" ht="15.75" customHeight="1" s="20">
      <c r="D233" s="16" t="n"/>
      <c r="E233" s="16" t="n"/>
      <c r="F233" s="16" t="n"/>
      <c r="G233" s="16" t="n"/>
      <c r="H233" s="16" t="n"/>
      <c r="I233" s="16" t="n"/>
      <c r="J233" s="16" t="n"/>
      <c r="K233" s="16" t="n"/>
    </row>
    <row r="234" ht="15.75" customHeight="1" s="20">
      <c r="D234" s="16" t="n"/>
      <c r="E234" s="16" t="n"/>
      <c r="F234" s="16" t="n"/>
      <c r="G234" s="16" t="n"/>
      <c r="H234" s="16" t="n"/>
      <c r="I234" s="16" t="n"/>
      <c r="J234" s="16" t="n"/>
      <c r="K234" s="16" t="n"/>
    </row>
    <row r="235" ht="15.75" customHeight="1" s="20">
      <c r="D235" s="16" t="n"/>
      <c r="E235" s="16" t="n"/>
      <c r="F235" s="16" t="n"/>
      <c r="G235" s="16" t="n"/>
      <c r="H235" s="16" t="n"/>
      <c r="I235" s="16" t="n"/>
      <c r="J235" s="16" t="n"/>
      <c r="K235" s="16" t="n"/>
    </row>
    <row r="236" ht="15.75" customHeight="1" s="20">
      <c r="D236" s="16" t="n"/>
      <c r="E236" s="16" t="n"/>
      <c r="F236" s="16" t="n"/>
      <c r="G236" s="16" t="n"/>
      <c r="H236" s="16" t="n"/>
      <c r="I236" s="16" t="n"/>
      <c r="J236" s="16" t="n"/>
      <c r="K236" s="16" t="n"/>
    </row>
    <row r="237" ht="15.75" customHeight="1" s="20">
      <c r="D237" s="16" t="n"/>
      <c r="E237" s="16" t="n"/>
      <c r="F237" s="16" t="n"/>
      <c r="G237" s="16" t="n"/>
      <c r="H237" s="16" t="n"/>
      <c r="I237" s="16" t="n"/>
      <c r="J237" s="16" t="n"/>
      <c r="K237" s="16" t="n"/>
    </row>
    <row r="238" ht="15.75" customHeight="1" s="20">
      <c r="D238" s="16" t="n"/>
      <c r="E238" s="16" t="n"/>
      <c r="F238" s="16" t="n"/>
      <c r="G238" s="16" t="n"/>
      <c r="H238" s="16" t="n"/>
      <c r="I238" s="16" t="n"/>
      <c r="J238" s="16" t="n"/>
      <c r="K238" s="16" t="n"/>
    </row>
    <row r="239" ht="15.75" customHeight="1" s="20">
      <c r="D239" s="16" t="n"/>
      <c r="E239" s="16" t="n"/>
      <c r="F239" s="16" t="n"/>
      <c r="G239" s="16" t="n"/>
      <c r="H239" s="16" t="n"/>
      <c r="I239" s="16" t="n"/>
      <c r="J239" s="16" t="n"/>
      <c r="K239" s="16" t="n"/>
    </row>
    <row r="240" ht="15.75" customHeight="1" s="20">
      <c r="D240" s="16" t="n"/>
      <c r="E240" s="16" t="n"/>
      <c r="F240" s="16" t="n"/>
      <c r="G240" s="16" t="n"/>
      <c r="H240" s="16" t="n"/>
      <c r="I240" s="16" t="n"/>
      <c r="J240" s="16" t="n"/>
      <c r="K240" s="16" t="n"/>
    </row>
    <row r="241" ht="15.75" customHeight="1" s="20">
      <c r="D241" s="16" t="n"/>
      <c r="E241" s="16" t="n"/>
      <c r="F241" s="16" t="n"/>
      <c r="G241" s="16" t="n"/>
      <c r="H241" s="16" t="n"/>
      <c r="I241" s="16" t="n"/>
      <c r="J241" s="16" t="n"/>
      <c r="K241" s="16" t="n"/>
    </row>
    <row r="242" ht="15.75" customHeight="1" s="20">
      <c r="D242" s="16" t="n"/>
      <c r="E242" s="16" t="n"/>
      <c r="F242" s="16" t="n"/>
      <c r="G242" s="16" t="n"/>
      <c r="H242" s="16" t="n"/>
      <c r="I242" s="16" t="n"/>
      <c r="J242" s="16" t="n"/>
      <c r="K242" s="16" t="n"/>
    </row>
    <row r="243" ht="15.75" customHeight="1" s="20">
      <c r="D243" s="16" t="n"/>
      <c r="E243" s="16" t="n"/>
      <c r="F243" s="16" t="n"/>
      <c r="G243" s="16" t="n"/>
      <c r="H243" s="16" t="n"/>
      <c r="I243" s="16" t="n"/>
      <c r="J243" s="16" t="n"/>
      <c r="K243" s="16" t="n"/>
    </row>
    <row r="244" ht="15.75" customHeight="1" s="20">
      <c r="D244" s="16" t="n"/>
      <c r="E244" s="16" t="n"/>
      <c r="F244" s="16" t="n"/>
      <c r="G244" s="16" t="n"/>
      <c r="H244" s="16" t="n"/>
      <c r="I244" s="16" t="n"/>
      <c r="J244" s="16" t="n"/>
      <c r="K244" s="16" t="n"/>
    </row>
    <row r="245" ht="15.75" customHeight="1" s="20">
      <c r="D245" s="16" t="n"/>
      <c r="E245" s="16" t="n"/>
      <c r="F245" s="16" t="n"/>
      <c r="G245" s="16" t="n"/>
      <c r="H245" s="16" t="n"/>
      <c r="I245" s="16" t="n"/>
      <c r="J245" s="16" t="n"/>
      <c r="K245" s="16" t="n"/>
    </row>
    <row r="246" ht="15.75" customHeight="1" s="20">
      <c r="D246" s="16" t="n"/>
      <c r="E246" s="16" t="n"/>
      <c r="F246" s="16" t="n"/>
      <c r="G246" s="16" t="n"/>
      <c r="H246" s="16" t="n"/>
      <c r="I246" s="16" t="n"/>
      <c r="J246" s="16" t="n"/>
      <c r="K246" s="16" t="n"/>
    </row>
    <row r="247" ht="15.75" customHeight="1" s="20">
      <c r="D247" s="16" t="n"/>
      <c r="E247" s="16" t="n"/>
      <c r="F247" s="16" t="n"/>
      <c r="G247" s="16" t="n"/>
      <c r="H247" s="16" t="n"/>
      <c r="I247" s="16" t="n"/>
      <c r="J247" s="16" t="n"/>
      <c r="K247" s="16" t="n"/>
    </row>
    <row r="248" ht="15.75" customHeight="1" s="20">
      <c r="D248" s="16" t="n"/>
      <c r="E248" s="16" t="n"/>
      <c r="F248" s="16" t="n"/>
      <c r="G248" s="16" t="n"/>
      <c r="H248" s="16" t="n"/>
      <c r="I248" s="16" t="n"/>
      <c r="J248" s="16" t="n"/>
      <c r="K248" s="16" t="n"/>
    </row>
    <row r="249" ht="15.75" customHeight="1" s="20">
      <c r="D249" s="16" t="n"/>
      <c r="E249" s="16" t="n"/>
      <c r="F249" s="16" t="n"/>
      <c r="G249" s="16" t="n"/>
      <c r="H249" s="16" t="n"/>
      <c r="I249" s="16" t="n"/>
      <c r="J249" s="16" t="n"/>
      <c r="K249" s="16" t="n"/>
    </row>
    <row r="250" ht="15.75" customHeight="1" s="20">
      <c r="D250" s="16" t="n"/>
      <c r="E250" s="16" t="n"/>
      <c r="F250" s="16" t="n"/>
      <c r="G250" s="16" t="n"/>
      <c r="H250" s="16" t="n"/>
      <c r="I250" s="16" t="n"/>
      <c r="J250" s="16" t="n"/>
      <c r="K250" s="16" t="n"/>
    </row>
    <row r="251" ht="15.75" customHeight="1" s="20">
      <c r="D251" s="16" t="n"/>
      <c r="E251" s="16" t="n"/>
      <c r="F251" s="16" t="n"/>
      <c r="G251" s="16" t="n"/>
      <c r="H251" s="16" t="n"/>
      <c r="I251" s="16" t="n"/>
      <c r="J251" s="16" t="n"/>
      <c r="K251" s="16" t="n"/>
    </row>
    <row r="252" ht="15.75" customHeight="1" s="20">
      <c r="D252" s="16" t="n"/>
      <c r="E252" s="16" t="n"/>
      <c r="F252" s="16" t="n"/>
      <c r="G252" s="16" t="n"/>
      <c r="H252" s="16" t="n"/>
      <c r="I252" s="16" t="n"/>
      <c r="J252" s="16" t="n"/>
      <c r="K252" s="16" t="n"/>
    </row>
    <row r="253" ht="15.75" customHeight="1" s="20">
      <c r="D253" s="16" t="n"/>
      <c r="E253" s="16" t="n"/>
      <c r="F253" s="16" t="n"/>
      <c r="G253" s="16" t="n"/>
      <c r="H253" s="16" t="n"/>
      <c r="I253" s="16" t="n"/>
      <c r="J253" s="16" t="n"/>
      <c r="K253" s="16" t="n"/>
    </row>
    <row r="254" ht="15.75" customHeight="1" s="20">
      <c r="D254" s="16" t="n"/>
      <c r="E254" s="16" t="n"/>
      <c r="F254" s="16" t="n"/>
      <c r="G254" s="16" t="n"/>
      <c r="H254" s="16" t="n"/>
      <c r="I254" s="16" t="n"/>
      <c r="J254" s="16" t="n"/>
      <c r="K254" s="16" t="n"/>
    </row>
    <row r="255" ht="15.75" customHeight="1" s="20">
      <c r="D255" s="16" t="n"/>
      <c r="E255" s="16" t="n"/>
      <c r="F255" s="16" t="n"/>
      <c r="G255" s="16" t="n"/>
      <c r="H255" s="16" t="n"/>
      <c r="I255" s="16" t="n"/>
      <c r="J255" s="16" t="n"/>
      <c r="K255" s="16" t="n"/>
    </row>
    <row r="256" ht="15.75" customHeight="1" s="20">
      <c r="D256" s="16" t="n"/>
      <c r="E256" s="16" t="n"/>
      <c r="F256" s="16" t="n"/>
      <c r="G256" s="16" t="n"/>
      <c r="H256" s="16" t="n"/>
      <c r="I256" s="16" t="n"/>
      <c r="J256" s="16" t="n"/>
      <c r="K256" s="16" t="n"/>
    </row>
    <row r="257" ht="15.75" customHeight="1" s="20">
      <c r="D257" s="16" t="n"/>
      <c r="E257" s="16" t="n"/>
      <c r="F257" s="16" t="n"/>
      <c r="G257" s="16" t="n"/>
      <c r="H257" s="16" t="n"/>
      <c r="I257" s="16" t="n"/>
      <c r="J257" s="16" t="n"/>
      <c r="K257" s="16" t="n"/>
    </row>
    <row r="258" ht="15.75" customHeight="1" s="20">
      <c r="D258" s="16" t="n"/>
      <c r="E258" s="16" t="n"/>
      <c r="F258" s="16" t="n"/>
      <c r="G258" s="16" t="n"/>
      <c r="H258" s="16" t="n"/>
      <c r="I258" s="16" t="n"/>
      <c r="J258" s="16" t="n"/>
      <c r="K258" s="16" t="n"/>
    </row>
    <row r="259" ht="15.75" customHeight="1" s="20">
      <c r="D259" s="16" t="n"/>
      <c r="E259" s="16" t="n"/>
      <c r="F259" s="16" t="n"/>
      <c r="G259" s="16" t="n"/>
      <c r="H259" s="16" t="n"/>
      <c r="I259" s="16" t="n"/>
      <c r="J259" s="16" t="n"/>
      <c r="K259" s="16" t="n"/>
    </row>
    <row r="260" ht="15.75" customHeight="1" s="20">
      <c r="D260" s="16" t="n"/>
      <c r="E260" s="16" t="n"/>
      <c r="F260" s="16" t="n"/>
      <c r="G260" s="16" t="n"/>
      <c r="H260" s="16" t="n"/>
      <c r="I260" s="16" t="n"/>
      <c r="J260" s="16" t="n"/>
      <c r="K260" s="16" t="n"/>
    </row>
    <row r="261" ht="15.75" customHeight="1" s="20">
      <c r="D261" s="16" t="n"/>
      <c r="E261" s="16" t="n"/>
      <c r="F261" s="16" t="n"/>
      <c r="G261" s="16" t="n"/>
      <c r="H261" s="16" t="n"/>
      <c r="I261" s="16" t="n"/>
      <c r="J261" s="16" t="n"/>
      <c r="K261" s="16" t="n"/>
    </row>
    <row r="262" ht="15.75" customHeight="1" s="20">
      <c r="D262" s="16" t="n"/>
      <c r="E262" s="16" t="n"/>
      <c r="F262" s="16" t="n"/>
      <c r="G262" s="16" t="n"/>
      <c r="H262" s="16" t="n"/>
      <c r="I262" s="16" t="n"/>
      <c r="J262" s="16" t="n"/>
      <c r="K262" s="16" t="n"/>
    </row>
    <row r="263" ht="15.75" customHeight="1" s="20">
      <c r="D263" s="16" t="n"/>
      <c r="E263" s="16" t="n"/>
      <c r="F263" s="16" t="n"/>
      <c r="G263" s="16" t="n"/>
      <c r="H263" s="16" t="n"/>
      <c r="I263" s="16" t="n"/>
      <c r="J263" s="16" t="n"/>
      <c r="K263" s="16" t="n"/>
    </row>
    <row r="264" ht="15.75" customHeight="1" s="20">
      <c r="D264" s="16" t="n"/>
      <c r="E264" s="16" t="n"/>
      <c r="F264" s="16" t="n"/>
      <c r="G264" s="16" t="n"/>
      <c r="H264" s="16" t="n"/>
      <c r="I264" s="16" t="n"/>
      <c r="J264" s="16" t="n"/>
      <c r="K264" s="16" t="n"/>
    </row>
    <row r="265" ht="15.75" customHeight="1" s="20">
      <c r="D265" s="16" t="n"/>
      <c r="E265" s="16" t="n"/>
      <c r="F265" s="16" t="n"/>
      <c r="G265" s="16" t="n"/>
      <c r="H265" s="16" t="n"/>
      <c r="I265" s="16" t="n"/>
      <c r="J265" s="16" t="n"/>
      <c r="K265" s="16" t="n"/>
    </row>
    <row r="266" ht="15.75" customHeight="1" s="20">
      <c r="D266" s="16" t="n"/>
      <c r="E266" s="16" t="n"/>
      <c r="F266" s="16" t="n"/>
      <c r="G266" s="16" t="n"/>
      <c r="H266" s="16" t="n"/>
      <c r="I266" s="16" t="n"/>
      <c r="J266" s="16" t="n"/>
      <c r="K266" s="16" t="n"/>
    </row>
    <row r="267" ht="15.75" customHeight="1" s="20">
      <c r="D267" s="16" t="n"/>
      <c r="E267" s="16" t="n"/>
      <c r="F267" s="16" t="n"/>
      <c r="G267" s="16" t="n"/>
      <c r="H267" s="16" t="n"/>
      <c r="I267" s="16" t="n"/>
      <c r="J267" s="16" t="n"/>
      <c r="K267" s="16" t="n"/>
    </row>
    <row r="268" ht="15.75" customHeight="1" s="20">
      <c r="D268" s="16" t="n"/>
      <c r="E268" s="16" t="n"/>
      <c r="F268" s="16" t="n"/>
      <c r="G268" s="16" t="n"/>
      <c r="H268" s="16" t="n"/>
      <c r="I268" s="16" t="n"/>
      <c r="J268" s="16" t="n"/>
      <c r="K268" s="16" t="n"/>
    </row>
    <row r="269" ht="15.75" customHeight="1" s="20">
      <c r="D269" s="16" t="n"/>
      <c r="E269" s="16" t="n"/>
      <c r="F269" s="16" t="n"/>
      <c r="G269" s="16" t="n"/>
      <c r="H269" s="16" t="n"/>
      <c r="I269" s="16" t="n"/>
      <c r="J269" s="16" t="n"/>
      <c r="K269" s="16" t="n"/>
    </row>
    <row r="270" ht="15.75" customHeight="1" s="20">
      <c r="D270" s="16" t="n"/>
      <c r="E270" s="16" t="n"/>
      <c r="F270" s="16" t="n"/>
      <c r="G270" s="16" t="n"/>
      <c r="H270" s="16" t="n"/>
      <c r="I270" s="16" t="n"/>
      <c r="J270" s="16" t="n"/>
      <c r="K270" s="16" t="n"/>
    </row>
    <row r="271" ht="15.75" customHeight="1" s="20">
      <c r="D271" s="16" t="n"/>
      <c r="E271" s="16" t="n"/>
      <c r="F271" s="16" t="n"/>
      <c r="G271" s="16" t="n"/>
      <c r="H271" s="16" t="n"/>
      <c r="I271" s="16" t="n"/>
      <c r="J271" s="16" t="n"/>
      <c r="K271" s="16" t="n"/>
    </row>
    <row r="272" ht="15.75" customHeight="1" s="20">
      <c r="D272" s="16" t="n"/>
      <c r="E272" s="16" t="n"/>
      <c r="F272" s="16" t="n"/>
      <c r="G272" s="16" t="n"/>
      <c r="H272" s="16" t="n"/>
      <c r="I272" s="16" t="n"/>
      <c r="J272" s="16" t="n"/>
      <c r="K272" s="16" t="n"/>
    </row>
    <row r="273" ht="15.75" customHeight="1" s="20">
      <c r="D273" s="16" t="n"/>
      <c r="E273" s="16" t="n"/>
      <c r="F273" s="16" t="n"/>
      <c r="G273" s="16" t="n"/>
      <c r="H273" s="16" t="n"/>
      <c r="I273" s="16" t="n"/>
      <c r="J273" s="16" t="n"/>
      <c r="K273" s="16" t="n"/>
    </row>
    <row r="274" ht="15.75" customHeight="1" s="20">
      <c r="D274" s="16" t="n"/>
      <c r="E274" s="16" t="n"/>
      <c r="F274" s="16" t="n"/>
      <c r="G274" s="16" t="n"/>
      <c r="H274" s="16" t="n"/>
      <c r="I274" s="16" t="n"/>
      <c r="J274" s="16" t="n"/>
      <c r="K274" s="16" t="n"/>
    </row>
    <row r="275" ht="15.75" customHeight="1" s="20">
      <c r="D275" s="16" t="n"/>
      <c r="E275" s="16" t="n"/>
      <c r="F275" s="16" t="n"/>
      <c r="G275" s="16" t="n"/>
      <c r="H275" s="16" t="n"/>
      <c r="I275" s="16" t="n"/>
      <c r="J275" s="16" t="n"/>
      <c r="K275" s="16" t="n"/>
    </row>
    <row r="276" ht="15.75" customHeight="1" s="20">
      <c r="D276" s="16" t="n"/>
      <c r="E276" s="16" t="n"/>
      <c r="F276" s="16" t="n"/>
      <c r="G276" s="16" t="n"/>
      <c r="H276" s="16" t="n"/>
      <c r="I276" s="16" t="n"/>
      <c r="J276" s="16" t="n"/>
      <c r="K276" s="16" t="n"/>
    </row>
    <row r="277" ht="15.75" customHeight="1" s="20">
      <c r="D277" s="16" t="n"/>
      <c r="E277" s="16" t="n"/>
      <c r="F277" s="16" t="n"/>
      <c r="G277" s="16" t="n"/>
      <c r="H277" s="16" t="n"/>
      <c r="I277" s="16" t="n"/>
      <c r="J277" s="16" t="n"/>
      <c r="K277" s="16" t="n"/>
    </row>
    <row r="278" ht="15.75" customHeight="1" s="20">
      <c r="D278" s="16" t="n"/>
      <c r="E278" s="16" t="n"/>
      <c r="F278" s="16" t="n"/>
      <c r="G278" s="16" t="n"/>
      <c r="H278" s="16" t="n"/>
      <c r="I278" s="16" t="n"/>
      <c r="J278" s="16" t="n"/>
      <c r="K278" s="16" t="n"/>
    </row>
    <row r="279" ht="15.75" customHeight="1" s="20">
      <c r="D279" s="16" t="n"/>
      <c r="E279" s="16" t="n"/>
      <c r="F279" s="16" t="n"/>
      <c r="G279" s="16" t="n"/>
      <c r="H279" s="16" t="n"/>
      <c r="I279" s="16" t="n"/>
      <c r="J279" s="16" t="n"/>
      <c r="K279" s="16" t="n"/>
    </row>
    <row r="280" ht="15.75" customHeight="1" s="20">
      <c r="D280" s="16" t="n"/>
      <c r="E280" s="16" t="n"/>
      <c r="F280" s="16" t="n"/>
      <c r="G280" s="16" t="n"/>
      <c r="H280" s="16" t="n"/>
      <c r="I280" s="16" t="n"/>
      <c r="J280" s="16" t="n"/>
      <c r="K280" s="16" t="n"/>
    </row>
    <row r="281" ht="15.75" customHeight="1" s="20">
      <c r="D281" s="16" t="n"/>
      <c r="E281" s="16" t="n"/>
      <c r="F281" s="16" t="n"/>
      <c r="G281" s="16" t="n"/>
      <c r="H281" s="16" t="n"/>
      <c r="I281" s="16" t="n"/>
      <c r="J281" s="16" t="n"/>
      <c r="K281" s="16" t="n"/>
    </row>
    <row r="282" ht="15.75" customHeight="1" s="20">
      <c r="D282" s="16" t="n"/>
      <c r="E282" s="16" t="n"/>
      <c r="F282" s="16" t="n"/>
      <c r="G282" s="16" t="n"/>
      <c r="H282" s="16" t="n"/>
      <c r="I282" s="16" t="n"/>
      <c r="J282" s="16" t="n"/>
      <c r="K282" s="16" t="n"/>
    </row>
    <row r="283" ht="15.75" customHeight="1" s="20">
      <c r="D283" s="16" t="n"/>
      <c r="E283" s="16" t="n"/>
      <c r="F283" s="16" t="n"/>
      <c r="G283" s="16" t="n"/>
      <c r="H283" s="16" t="n"/>
      <c r="I283" s="16" t="n"/>
      <c r="J283" s="16" t="n"/>
      <c r="K283" s="16" t="n"/>
    </row>
    <row r="284" ht="15.75" customHeight="1" s="20">
      <c r="D284" s="16" t="n"/>
      <c r="E284" s="16" t="n"/>
      <c r="F284" s="16" t="n"/>
      <c r="G284" s="16" t="n"/>
      <c r="H284" s="16" t="n"/>
      <c r="I284" s="16" t="n"/>
      <c r="J284" s="16" t="n"/>
      <c r="K284" s="16" t="n"/>
    </row>
    <row r="285" ht="15.75" customHeight="1" s="20">
      <c r="D285" s="16" t="n"/>
      <c r="E285" s="16" t="n"/>
      <c r="F285" s="16" t="n"/>
      <c r="G285" s="16" t="n"/>
      <c r="H285" s="16" t="n"/>
      <c r="I285" s="16" t="n"/>
      <c r="J285" s="16" t="n"/>
      <c r="K285" s="16" t="n"/>
    </row>
    <row r="286" ht="15.75" customHeight="1" s="20">
      <c r="D286" s="16" t="n"/>
      <c r="E286" s="16" t="n"/>
      <c r="F286" s="16" t="n"/>
      <c r="G286" s="16" t="n"/>
      <c r="H286" s="16" t="n"/>
      <c r="I286" s="16" t="n"/>
      <c r="J286" s="16" t="n"/>
      <c r="K286" s="16" t="n"/>
    </row>
    <row r="287" ht="15.75" customHeight="1" s="20">
      <c r="D287" s="16" t="n"/>
      <c r="E287" s="16" t="n"/>
      <c r="F287" s="16" t="n"/>
      <c r="G287" s="16" t="n"/>
      <c r="H287" s="16" t="n"/>
      <c r="I287" s="16" t="n"/>
      <c r="J287" s="16" t="n"/>
      <c r="K287" s="16" t="n"/>
    </row>
    <row r="288" ht="15.75" customHeight="1" s="20">
      <c r="D288" s="16" t="n"/>
      <c r="E288" s="16" t="n"/>
      <c r="F288" s="16" t="n"/>
      <c r="G288" s="16" t="n"/>
      <c r="H288" s="16" t="n"/>
      <c r="I288" s="16" t="n"/>
      <c r="J288" s="16" t="n"/>
      <c r="K288" s="16" t="n"/>
    </row>
    <row r="289" ht="15.75" customHeight="1" s="20">
      <c r="D289" s="16" t="n"/>
      <c r="E289" s="16" t="n"/>
      <c r="F289" s="16" t="n"/>
      <c r="G289" s="16" t="n"/>
      <c r="H289" s="16" t="n"/>
      <c r="I289" s="16" t="n"/>
      <c r="J289" s="16" t="n"/>
      <c r="K289" s="16" t="n"/>
    </row>
    <row r="290" ht="15.75" customHeight="1" s="20">
      <c r="D290" s="16" t="n"/>
      <c r="E290" s="16" t="n"/>
      <c r="F290" s="16" t="n"/>
      <c r="G290" s="16" t="n"/>
      <c r="H290" s="16" t="n"/>
      <c r="I290" s="16" t="n"/>
      <c r="J290" s="16" t="n"/>
      <c r="K290" s="16" t="n"/>
    </row>
    <row r="291" ht="15.75" customHeight="1" s="20">
      <c r="D291" s="16" t="n"/>
      <c r="E291" s="16" t="n"/>
      <c r="F291" s="16" t="n"/>
      <c r="G291" s="16" t="n"/>
      <c r="H291" s="16" t="n"/>
      <c r="I291" s="16" t="n"/>
      <c r="J291" s="16" t="n"/>
      <c r="K291" s="16" t="n"/>
    </row>
    <row r="292" ht="15.75" customHeight="1" s="20">
      <c r="D292" s="16" t="n"/>
      <c r="E292" s="16" t="n"/>
      <c r="F292" s="16" t="n"/>
      <c r="G292" s="16" t="n"/>
      <c r="H292" s="16" t="n"/>
      <c r="I292" s="16" t="n"/>
      <c r="J292" s="16" t="n"/>
      <c r="K292" s="16" t="n"/>
    </row>
    <row r="293" ht="15.75" customHeight="1" s="20">
      <c r="D293" s="16" t="n"/>
      <c r="E293" s="16" t="n"/>
      <c r="F293" s="16" t="n"/>
      <c r="G293" s="16" t="n"/>
      <c r="H293" s="16" t="n"/>
      <c r="I293" s="16" t="n"/>
      <c r="J293" s="16" t="n"/>
      <c r="K293" s="16" t="n"/>
    </row>
    <row r="294" ht="15.75" customHeight="1" s="20">
      <c r="D294" s="16" t="n"/>
      <c r="E294" s="16" t="n"/>
      <c r="F294" s="16" t="n"/>
      <c r="G294" s="16" t="n"/>
      <c r="H294" s="16" t="n"/>
      <c r="I294" s="16" t="n"/>
      <c r="J294" s="16" t="n"/>
      <c r="K294" s="16" t="n"/>
    </row>
    <row r="295" ht="15.75" customHeight="1" s="20">
      <c r="D295" s="16" t="n"/>
      <c r="E295" s="16" t="n"/>
      <c r="F295" s="16" t="n"/>
      <c r="G295" s="16" t="n"/>
      <c r="H295" s="16" t="n"/>
      <c r="I295" s="16" t="n"/>
      <c r="J295" s="16" t="n"/>
      <c r="K295" s="16" t="n"/>
    </row>
    <row r="296" ht="15.75" customHeight="1" s="20">
      <c r="D296" s="16" t="n"/>
      <c r="E296" s="16" t="n"/>
      <c r="F296" s="16" t="n"/>
      <c r="G296" s="16" t="n"/>
      <c r="H296" s="16" t="n"/>
      <c r="I296" s="16" t="n"/>
      <c r="J296" s="16" t="n"/>
      <c r="K296" s="16" t="n"/>
    </row>
    <row r="297" ht="15.75" customHeight="1" s="20">
      <c r="D297" s="16" t="n"/>
      <c r="E297" s="16" t="n"/>
      <c r="F297" s="16" t="n"/>
      <c r="G297" s="16" t="n"/>
      <c r="H297" s="16" t="n"/>
      <c r="I297" s="16" t="n"/>
      <c r="J297" s="16" t="n"/>
      <c r="K297" s="16" t="n"/>
    </row>
    <row r="298" ht="15.75" customHeight="1" s="20">
      <c r="D298" s="16" t="n"/>
      <c r="E298" s="16" t="n"/>
      <c r="F298" s="16" t="n"/>
      <c r="G298" s="16" t="n"/>
      <c r="H298" s="16" t="n"/>
      <c r="I298" s="16" t="n"/>
      <c r="J298" s="16" t="n"/>
      <c r="K298" s="16" t="n"/>
    </row>
    <row r="299" ht="15.75" customHeight="1" s="20">
      <c r="D299" s="16" t="n"/>
      <c r="E299" s="16" t="n"/>
      <c r="F299" s="16" t="n"/>
      <c r="G299" s="16" t="n"/>
      <c r="H299" s="16" t="n"/>
      <c r="I299" s="16" t="n"/>
      <c r="J299" s="16" t="n"/>
      <c r="K299" s="16" t="n"/>
    </row>
    <row r="300" ht="15.75" customHeight="1" s="20">
      <c r="D300" s="16" t="n"/>
      <c r="E300" s="16" t="n"/>
      <c r="F300" s="16" t="n"/>
      <c r="G300" s="16" t="n"/>
      <c r="H300" s="16" t="n"/>
      <c r="I300" s="16" t="n"/>
      <c r="J300" s="16" t="n"/>
      <c r="K300" s="16" t="n"/>
    </row>
    <row r="301" ht="15.75" customHeight="1" s="20">
      <c r="D301" s="16" t="n"/>
      <c r="E301" s="16" t="n"/>
      <c r="F301" s="16" t="n"/>
      <c r="G301" s="16" t="n"/>
      <c r="H301" s="16" t="n"/>
      <c r="I301" s="16" t="n"/>
      <c r="J301" s="16" t="n"/>
      <c r="K301" s="16" t="n"/>
    </row>
    <row r="302" ht="15.75" customHeight="1" s="20">
      <c r="D302" s="16" t="n"/>
      <c r="E302" s="16" t="n"/>
      <c r="F302" s="16" t="n"/>
      <c r="G302" s="16" t="n"/>
      <c r="H302" s="16" t="n"/>
      <c r="I302" s="16" t="n"/>
      <c r="J302" s="16" t="n"/>
      <c r="K302" s="16" t="n"/>
    </row>
    <row r="303" ht="15.75" customHeight="1" s="20">
      <c r="D303" s="16" t="n"/>
      <c r="E303" s="16" t="n"/>
      <c r="F303" s="16" t="n"/>
      <c r="G303" s="16" t="n"/>
      <c r="H303" s="16" t="n"/>
      <c r="I303" s="16" t="n"/>
      <c r="J303" s="16" t="n"/>
      <c r="K303" s="16" t="n"/>
    </row>
    <row r="304" ht="15.75" customHeight="1" s="20">
      <c r="D304" s="16" t="n"/>
      <c r="E304" s="16" t="n"/>
      <c r="F304" s="16" t="n"/>
      <c r="G304" s="16" t="n"/>
      <c r="H304" s="16" t="n"/>
      <c r="I304" s="16" t="n"/>
      <c r="J304" s="16" t="n"/>
      <c r="K304" s="16" t="n"/>
    </row>
    <row r="305" ht="15.75" customHeight="1" s="20">
      <c r="D305" s="16" t="n"/>
      <c r="E305" s="16" t="n"/>
      <c r="F305" s="16" t="n"/>
      <c r="G305" s="16" t="n"/>
      <c r="H305" s="16" t="n"/>
      <c r="I305" s="16" t="n"/>
      <c r="J305" s="16" t="n"/>
      <c r="K305" s="16" t="n"/>
    </row>
    <row r="306" ht="15.75" customHeight="1" s="20">
      <c r="D306" s="16" t="n"/>
      <c r="E306" s="16" t="n"/>
      <c r="F306" s="16" t="n"/>
      <c r="G306" s="16" t="n"/>
      <c r="H306" s="16" t="n"/>
      <c r="I306" s="16" t="n"/>
      <c r="J306" s="16" t="n"/>
      <c r="K306" s="16" t="n"/>
    </row>
    <row r="307" ht="15.75" customHeight="1" s="20">
      <c r="D307" s="16" t="n"/>
      <c r="E307" s="16" t="n"/>
      <c r="F307" s="16" t="n"/>
      <c r="G307" s="16" t="n"/>
      <c r="H307" s="16" t="n"/>
      <c r="I307" s="16" t="n"/>
      <c r="J307" s="16" t="n"/>
      <c r="K307" s="16" t="n"/>
    </row>
    <row r="308" ht="15.75" customHeight="1" s="20">
      <c r="D308" s="16" t="n"/>
      <c r="E308" s="16" t="n"/>
      <c r="F308" s="16" t="n"/>
      <c r="G308" s="16" t="n"/>
      <c r="H308" s="16" t="n"/>
      <c r="I308" s="16" t="n"/>
      <c r="J308" s="16" t="n"/>
      <c r="K308" s="16" t="n"/>
    </row>
    <row r="309" ht="15.75" customHeight="1" s="20">
      <c r="D309" s="16" t="n"/>
      <c r="E309" s="16" t="n"/>
      <c r="F309" s="16" t="n"/>
      <c r="G309" s="16" t="n"/>
      <c r="H309" s="16" t="n"/>
      <c r="I309" s="16" t="n"/>
      <c r="J309" s="16" t="n"/>
      <c r="K309" s="16" t="n"/>
    </row>
    <row r="310" ht="15.75" customHeight="1" s="20">
      <c r="D310" s="16" t="n"/>
      <c r="E310" s="16" t="n"/>
      <c r="F310" s="16" t="n"/>
      <c r="G310" s="16" t="n"/>
      <c r="H310" s="16" t="n"/>
      <c r="I310" s="16" t="n"/>
      <c r="J310" s="16" t="n"/>
      <c r="K310" s="16" t="n"/>
    </row>
    <row r="311" ht="15.75" customHeight="1" s="20">
      <c r="D311" s="16" t="n"/>
      <c r="E311" s="16" t="n"/>
      <c r="F311" s="16" t="n"/>
      <c r="G311" s="16" t="n"/>
      <c r="H311" s="16" t="n"/>
      <c r="I311" s="16" t="n"/>
      <c r="J311" s="16" t="n"/>
      <c r="K311" s="16" t="n"/>
    </row>
    <row r="312" ht="15.75" customHeight="1" s="20">
      <c r="D312" s="16" t="n"/>
      <c r="E312" s="16" t="n"/>
      <c r="F312" s="16" t="n"/>
      <c r="G312" s="16" t="n"/>
      <c r="H312" s="16" t="n"/>
      <c r="I312" s="16" t="n"/>
      <c r="J312" s="16" t="n"/>
      <c r="K312" s="16" t="n"/>
    </row>
    <row r="313" ht="15.75" customHeight="1" s="20">
      <c r="D313" s="16" t="n"/>
      <c r="E313" s="16" t="n"/>
      <c r="F313" s="16" t="n"/>
      <c r="G313" s="16" t="n"/>
      <c r="H313" s="16" t="n"/>
      <c r="I313" s="16" t="n"/>
      <c r="J313" s="16" t="n"/>
      <c r="K313" s="16" t="n"/>
    </row>
    <row r="314" ht="15.75" customHeight="1" s="20">
      <c r="D314" s="16" t="n"/>
      <c r="E314" s="16" t="n"/>
      <c r="F314" s="16" t="n"/>
      <c r="G314" s="16" t="n"/>
      <c r="H314" s="16" t="n"/>
      <c r="I314" s="16" t="n"/>
      <c r="J314" s="16" t="n"/>
      <c r="K314" s="16" t="n"/>
    </row>
    <row r="315" ht="15.75" customHeight="1" s="20">
      <c r="D315" s="16" t="n"/>
      <c r="E315" s="16" t="n"/>
      <c r="F315" s="16" t="n"/>
      <c r="G315" s="16" t="n"/>
      <c r="H315" s="16" t="n"/>
      <c r="I315" s="16" t="n"/>
      <c r="J315" s="16" t="n"/>
      <c r="K315" s="16" t="n"/>
    </row>
    <row r="316" ht="15.75" customHeight="1" s="20">
      <c r="D316" s="16" t="n"/>
      <c r="E316" s="16" t="n"/>
      <c r="F316" s="16" t="n"/>
      <c r="G316" s="16" t="n"/>
      <c r="H316" s="16" t="n"/>
      <c r="I316" s="16" t="n"/>
      <c r="J316" s="16" t="n"/>
      <c r="K316" s="16" t="n"/>
    </row>
    <row r="317" ht="15.75" customHeight="1" s="20">
      <c r="D317" s="16" t="n"/>
      <c r="E317" s="16" t="n"/>
      <c r="F317" s="16" t="n"/>
      <c r="G317" s="16" t="n"/>
      <c r="H317" s="16" t="n"/>
      <c r="I317" s="16" t="n"/>
      <c r="J317" s="16" t="n"/>
      <c r="K317" s="16" t="n"/>
    </row>
    <row r="318" ht="15.75" customHeight="1" s="20">
      <c r="D318" s="16" t="n"/>
      <c r="E318" s="16" t="n"/>
      <c r="F318" s="16" t="n"/>
      <c r="G318" s="16" t="n"/>
      <c r="H318" s="16" t="n"/>
      <c r="I318" s="16" t="n"/>
      <c r="J318" s="16" t="n"/>
      <c r="K318" s="16" t="n"/>
    </row>
    <row r="319" ht="15.75" customHeight="1" s="20">
      <c r="D319" s="16" t="n"/>
      <c r="E319" s="16" t="n"/>
      <c r="F319" s="16" t="n"/>
      <c r="G319" s="16" t="n"/>
      <c r="H319" s="16" t="n"/>
      <c r="I319" s="16" t="n"/>
      <c r="J319" s="16" t="n"/>
      <c r="K319" s="16" t="n"/>
    </row>
    <row r="320" ht="15.75" customHeight="1" s="20">
      <c r="D320" s="16" t="n"/>
      <c r="E320" s="16" t="n"/>
      <c r="F320" s="16" t="n"/>
      <c r="G320" s="16" t="n"/>
      <c r="H320" s="16" t="n"/>
      <c r="I320" s="16" t="n"/>
      <c r="J320" s="16" t="n"/>
      <c r="K320" s="16" t="n"/>
    </row>
    <row r="321" ht="15.75" customHeight="1" s="20">
      <c r="D321" s="16" t="n"/>
      <c r="E321" s="16" t="n"/>
      <c r="F321" s="16" t="n"/>
      <c r="G321" s="16" t="n"/>
      <c r="H321" s="16" t="n"/>
      <c r="I321" s="16" t="n"/>
      <c r="J321" s="16" t="n"/>
      <c r="K321" s="16" t="n"/>
    </row>
    <row r="322" ht="15.75" customHeight="1" s="20">
      <c r="D322" s="16" t="n"/>
      <c r="E322" s="16" t="n"/>
      <c r="F322" s="16" t="n"/>
      <c r="G322" s="16" t="n"/>
      <c r="H322" s="16" t="n"/>
      <c r="I322" s="16" t="n"/>
      <c r="J322" s="16" t="n"/>
      <c r="K322" s="16" t="n"/>
    </row>
    <row r="323" ht="15.75" customHeight="1" s="20">
      <c r="D323" s="16" t="n"/>
      <c r="E323" s="16" t="n"/>
      <c r="F323" s="16" t="n"/>
      <c r="G323" s="16" t="n"/>
      <c r="H323" s="16" t="n"/>
      <c r="I323" s="16" t="n"/>
      <c r="J323" s="16" t="n"/>
      <c r="K323" s="16" t="n"/>
    </row>
    <row r="324" ht="15.75" customHeight="1" s="20">
      <c r="D324" s="16" t="n"/>
      <c r="E324" s="16" t="n"/>
      <c r="F324" s="16" t="n"/>
      <c r="G324" s="16" t="n"/>
      <c r="H324" s="16" t="n"/>
      <c r="I324" s="16" t="n"/>
      <c r="J324" s="16" t="n"/>
      <c r="K324" s="16" t="n"/>
    </row>
    <row r="325" ht="15.75" customHeight="1" s="20">
      <c r="D325" s="16" t="n"/>
      <c r="E325" s="16" t="n"/>
      <c r="F325" s="16" t="n"/>
      <c r="G325" s="16" t="n"/>
      <c r="H325" s="16" t="n"/>
      <c r="I325" s="16" t="n"/>
      <c r="J325" s="16" t="n"/>
      <c r="K325" s="16" t="n"/>
    </row>
    <row r="326" ht="15.75" customHeight="1" s="20">
      <c r="D326" s="16" t="n"/>
      <c r="E326" s="16" t="n"/>
      <c r="F326" s="16" t="n"/>
      <c r="G326" s="16" t="n"/>
      <c r="H326" s="16" t="n"/>
      <c r="I326" s="16" t="n"/>
      <c r="J326" s="16" t="n"/>
      <c r="K326" s="16" t="n"/>
    </row>
    <row r="327" ht="15.75" customHeight="1" s="20">
      <c r="D327" s="16" t="n"/>
      <c r="E327" s="16" t="n"/>
      <c r="F327" s="16" t="n"/>
      <c r="G327" s="16" t="n"/>
      <c r="H327" s="16" t="n"/>
      <c r="I327" s="16" t="n"/>
      <c r="J327" s="16" t="n"/>
      <c r="K327" s="16" t="n"/>
    </row>
    <row r="328" ht="15.75" customHeight="1" s="20">
      <c r="D328" s="16" t="n"/>
      <c r="E328" s="16" t="n"/>
      <c r="F328" s="16" t="n"/>
      <c r="G328" s="16" t="n"/>
      <c r="H328" s="16" t="n"/>
      <c r="I328" s="16" t="n"/>
      <c r="J328" s="16" t="n"/>
      <c r="K328" s="16" t="n"/>
    </row>
    <row r="329" ht="15.75" customHeight="1" s="20">
      <c r="D329" s="16" t="n"/>
      <c r="E329" s="16" t="n"/>
      <c r="F329" s="16" t="n"/>
      <c r="G329" s="16" t="n"/>
      <c r="H329" s="16" t="n"/>
      <c r="I329" s="16" t="n"/>
      <c r="J329" s="16" t="n"/>
      <c r="K329" s="16" t="n"/>
    </row>
    <row r="330" ht="15.75" customHeight="1" s="20">
      <c r="D330" s="16" t="n"/>
      <c r="E330" s="16" t="n"/>
      <c r="F330" s="16" t="n"/>
      <c r="G330" s="16" t="n"/>
      <c r="H330" s="16" t="n"/>
      <c r="I330" s="16" t="n"/>
      <c r="J330" s="16" t="n"/>
      <c r="K330" s="16" t="n"/>
    </row>
    <row r="331" ht="15.75" customHeight="1" s="20">
      <c r="D331" s="16" t="n"/>
      <c r="E331" s="16" t="n"/>
      <c r="F331" s="16" t="n"/>
      <c r="G331" s="16" t="n"/>
      <c r="H331" s="16" t="n"/>
      <c r="I331" s="16" t="n"/>
      <c r="J331" s="16" t="n"/>
      <c r="K331" s="16" t="n"/>
    </row>
    <row r="332" ht="15.75" customHeight="1" s="20">
      <c r="D332" s="16" t="n"/>
      <c r="E332" s="16" t="n"/>
      <c r="F332" s="16" t="n"/>
      <c r="G332" s="16" t="n"/>
      <c r="H332" s="16" t="n"/>
      <c r="I332" s="16" t="n"/>
      <c r="J332" s="16" t="n"/>
      <c r="K332" s="16" t="n"/>
    </row>
    <row r="333" ht="15.75" customHeight="1" s="20">
      <c r="D333" s="16" t="n"/>
      <c r="E333" s="16" t="n"/>
      <c r="F333" s="16" t="n"/>
      <c r="G333" s="16" t="n"/>
      <c r="H333" s="16" t="n"/>
      <c r="I333" s="16" t="n"/>
      <c r="J333" s="16" t="n"/>
      <c r="K333" s="16" t="n"/>
    </row>
    <row r="334" ht="15.75" customHeight="1" s="20">
      <c r="D334" s="16" t="n"/>
      <c r="E334" s="16" t="n"/>
      <c r="F334" s="16" t="n"/>
      <c r="G334" s="16" t="n"/>
      <c r="H334" s="16" t="n"/>
      <c r="I334" s="16" t="n"/>
      <c r="J334" s="16" t="n"/>
      <c r="K334" s="16" t="n"/>
    </row>
    <row r="335" ht="15.75" customHeight="1" s="20">
      <c r="D335" s="16" t="n"/>
      <c r="E335" s="16" t="n"/>
      <c r="F335" s="16" t="n"/>
      <c r="G335" s="16" t="n"/>
      <c r="H335" s="16" t="n"/>
      <c r="I335" s="16" t="n"/>
      <c r="J335" s="16" t="n"/>
      <c r="K335" s="16" t="n"/>
    </row>
    <row r="336" ht="15.75" customHeight="1" s="20">
      <c r="D336" s="16" t="n"/>
      <c r="E336" s="16" t="n"/>
      <c r="F336" s="16" t="n"/>
      <c r="G336" s="16" t="n"/>
      <c r="H336" s="16" t="n"/>
      <c r="I336" s="16" t="n"/>
      <c r="J336" s="16" t="n"/>
      <c r="K336" s="16" t="n"/>
    </row>
    <row r="337" ht="15.75" customHeight="1" s="20">
      <c r="D337" s="16" t="n"/>
      <c r="E337" s="16" t="n"/>
      <c r="F337" s="16" t="n"/>
      <c r="G337" s="16" t="n"/>
      <c r="H337" s="16" t="n"/>
      <c r="I337" s="16" t="n"/>
      <c r="J337" s="16" t="n"/>
      <c r="K337" s="16" t="n"/>
    </row>
    <row r="338" ht="15.75" customHeight="1" s="20">
      <c r="D338" s="16" t="n"/>
      <c r="E338" s="16" t="n"/>
      <c r="F338" s="16" t="n"/>
      <c r="G338" s="16" t="n"/>
      <c r="H338" s="16" t="n"/>
      <c r="I338" s="16" t="n"/>
      <c r="J338" s="16" t="n"/>
      <c r="K338" s="16" t="n"/>
    </row>
    <row r="339" ht="15.75" customHeight="1" s="20">
      <c r="D339" s="16" t="n"/>
      <c r="E339" s="16" t="n"/>
      <c r="F339" s="16" t="n"/>
      <c r="G339" s="16" t="n"/>
      <c r="H339" s="16" t="n"/>
      <c r="I339" s="16" t="n"/>
      <c r="J339" s="16" t="n"/>
      <c r="K339" s="16" t="n"/>
    </row>
    <row r="340" ht="15.75" customHeight="1" s="20">
      <c r="D340" s="16" t="n"/>
      <c r="E340" s="16" t="n"/>
      <c r="F340" s="16" t="n"/>
      <c r="G340" s="16" t="n"/>
      <c r="H340" s="16" t="n"/>
      <c r="I340" s="16" t="n"/>
      <c r="J340" s="16" t="n"/>
      <c r="K340" s="16" t="n"/>
    </row>
    <row r="341" ht="15.75" customHeight="1" s="20">
      <c r="D341" s="16" t="n"/>
      <c r="E341" s="16" t="n"/>
      <c r="F341" s="16" t="n"/>
      <c r="G341" s="16" t="n"/>
      <c r="H341" s="16" t="n"/>
      <c r="I341" s="16" t="n"/>
      <c r="J341" s="16" t="n"/>
      <c r="K341" s="16" t="n"/>
    </row>
    <row r="342" ht="15.75" customHeight="1" s="20">
      <c r="D342" s="16" t="n"/>
      <c r="E342" s="16" t="n"/>
      <c r="F342" s="16" t="n"/>
      <c r="G342" s="16" t="n"/>
      <c r="H342" s="16" t="n"/>
      <c r="I342" s="16" t="n"/>
      <c r="J342" s="16" t="n"/>
      <c r="K342" s="16" t="n"/>
    </row>
    <row r="343" ht="15.75" customHeight="1" s="20">
      <c r="D343" s="16" t="n"/>
      <c r="E343" s="16" t="n"/>
      <c r="F343" s="16" t="n"/>
      <c r="G343" s="16" t="n"/>
      <c r="H343" s="16" t="n"/>
      <c r="I343" s="16" t="n"/>
      <c r="J343" s="16" t="n"/>
      <c r="K343" s="16" t="n"/>
    </row>
    <row r="344" ht="15.75" customHeight="1" s="20">
      <c r="D344" s="16" t="n"/>
      <c r="E344" s="16" t="n"/>
      <c r="F344" s="16" t="n"/>
      <c r="G344" s="16" t="n"/>
      <c r="H344" s="16" t="n"/>
      <c r="I344" s="16" t="n"/>
      <c r="J344" s="16" t="n"/>
      <c r="K344" s="16" t="n"/>
    </row>
    <row r="345" ht="15.75" customHeight="1" s="20">
      <c r="D345" s="16" t="n"/>
      <c r="E345" s="16" t="n"/>
      <c r="F345" s="16" t="n"/>
      <c r="G345" s="16" t="n"/>
      <c r="H345" s="16" t="n"/>
      <c r="I345" s="16" t="n"/>
      <c r="J345" s="16" t="n"/>
      <c r="K345" s="16" t="n"/>
    </row>
    <row r="346" ht="15.75" customHeight="1" s="20">
      <c r="D346" s="16" t="n"/>
      <c r="E346" s="16" t="n"/>
      <c r="F346" s="16" t="n"/>
      <c r="G346" s="16" t="n"/>
      <c r="H346" s="16" t="n"/>
      <c r="I346" s="16" t="n"/>
      <c r="J346" s="16" t="n"/>
      <c r="K346" s="16" t="n"/>
    </row>
    <row r="347" ht="15.75" customHeight="1" s="20">
      <c r="D347" s="16" t="n"/>
      <c r="E347" s="16" t="n"/>
      <c r="F347" s="16" t="n"/>
      <c r="G347" s="16" t="n"/>
      <c r="H347" s="16" t="n"/>
      <c r="I347" s="16" t="n"/>
      <c r="J347" s="16" t="n"/>
      <c r="K347" s="16" t="n"/>
    </row>
    <row r="348" ht="15.75" customHeight="1" s="20">
      <c r="D348" s="16" t="n"/>
      <c r="E348" s="16" t="n"/>
      <c r="F348" s="16" t="n"/>
      <c r="G348" s="16" t="n"/>
      <c r="H348" s="16" t="n"/>
      <c r="I348" s="16" t="n"/>
      <c r="J348" s="16" t="n"/>
      <c r="K348" s="16" t="n"/>
    </row>
    <row r="349" ht="15.75" customHeight="1" s="20">
      <c r="D349" s="16" t="n"/>
      <c r="E349" s="16" t="n"/>
      <c r="F349" s="16" t="n"/>
      <c r="G349" s="16" t="n"/>
      <c r="H349" s="16" t="n"/>
      <c r="I349" s="16" t="n"/>
      <c r="J349" s="16" t="n"/>
      <c r="K349" s="16" t="n"/>
    </row>
    <row r="350" ht="15.75" customHeight="1" s="20">
      <c r="D350" s="16" t="n"/>
      <c r="E350" s="16" t="n"/>
      <c r="F350" s="16" t="n"/>
      <c r="G350" s="16" t="n"/>
      <c r="H350" s="16" t="n"/>
      <c r="I350" s="16" t="n"/>
      <c r="J350" s="16" t="n"/>
      <c r="K350" s="16" t="n"/>
    </row>
    <row r="351" ht="15.75" customHeight="1" s="20">
      <c r="D351" s="16" t="n"/>
      <c r="E351" s="16" t="n"/>
      <c r="F351" s="16" t="n"/>
      <c r="G351" s="16" t="n"/>
      <c r="H351" s="16" t="n"/>
      <c r="I351" s="16" t="n"/>
      <c r="J351" s="16" t="n"/>
      <c r="K351" s="16" t="n"/>
    </row>
    <row r="352" ht="15.75" customHeight="1" s="20">
      <c r="D352" s="16" t="n"/>
      <c r="E352" s="16" t="n"/>
      <c r="F352" s="16" t="n"/>
      <c r="G352" s="16" t="n"/>
      <c r="H352" s="16" t="n"/>
      <c r="I352" s="16" t="n"/>
      <c r="J352" s="16" t="n"/>
      <c r="K352" s="16" t="n"/>
    </row>
    <row r="353" ht="15.75" customHeight="1" s="20">
      <c r="D353" s="16" t="n"/>
      <c r="E353" s="16" t="n"/>
      <c r="F353" s="16" t="n"/>
      <c r="G353" s="16" t="n"/>
      <c r="H353" s="16" t="n"/>
      <c r="I353" s="16" t="n"/>
      <c r="J353" s="16" t="n"/>
      <c r="K353" s="16" t="n"/>
    </row>
    <row r="354" ht="15.75" customHeight="1" s="20">
      <c r="D354" s="16" t="n"/>
      <c r="E354" s="16" t="n"/>
      <c r="F354" s="16" t="n"/>
      <c r="G354" s="16" t="n"/>
      <c r="H354" s="16" t="n"/>
      <c r="I354" s="16" t="n"/>
      <c r="J354" s="16" t="n"/>
      <c r="K354" s="16" t="n"/>
    </row>
    <row r="355" ht="15.75" customHeight="1" s="20">
      <c r="D355" s="16" t="n"/>
      <c r="E355" s="16" t="n"/>
      <c r="F355" s="16" t="n"/>
      <c r="G355" s="16" t="n"/>
      <c r="H355" s="16" t="n"/>
      <c r="I355" s="16" t="n"/>
      <c r="J355" s="16" t="n"/>
      <c r="K355" s="16" t="n"/>
    </row>
    <row r="356" ht="15.75" customHeight="1" s="20">
      <c r="D356" s="16" t="n"/>
      <c r="E356" s="16" t="n"/>
      <c r="F356" s="16" t="n"/>
      <c r="G356" s="16" t="n"/>
      <c r="H356" s="16" t="n"/>
      <c r="I356" s="16" t="n"/>
      <c r="J356" s="16" t="n"/>
      <c r="K356" s="16" t="n"/>
    </row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5">
    <mergeCell ref="B3:D3"/>
    <mergeCell ref="B5:D5"/>
    <mergeCell ref="A1:L1"/>
    <mergeCell ref="B4:D4"/>
    <mergeCell ref="B2:D2"/>
  </mergeCells>
  <conditionalFormatting sqref="J9:J56">
    <cfRule type="colorScale" priority="1">
      <colorScale>
        <cfvo type="formula" val="1"/>
        <cfvo type="formula" val="10"/>
        <color rgb="FFF8CBAD"/>
        <color rgb="FFA9D08E"/>
      </colorScale>
    </cfRule>
  </conditionalFormatting>
  <conditionalFormatting sqref="K9:K56">
    <cfRule type="colorScale" priority="2">
      <colorScale>
        <cfvo type="formula" val="1"/>
        <cfvo type="formula" val="10"/>
        <color rgb="FFF8CBAD"/>
        <color rgb="FFA9D08E"/>
      </colorScale>
    </cfRule>
  </conditionalFormatting>
  <dataValidations count="2">
    <dataValidation sqref="J9:K356" showDropDown="0" showInputMessage="1" showErrorMessage="1" allowBlank="1" prompt="Enter a whole number from 1 to 10" type="decimal">
      <formula1>1.0</formula1>
      <formula2>10.0</formula2>
    </dataValidation>
    <dataValidation sqref="D9:I356" showDropDown="0" showInputMessage="1" showErrorMessage="1" allowBlank="1" prompt="Enter minutes between 0 and 1440" type="decimal">
      <formula1>0.0</formula1>
      <formula2>1440.0</formula2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ColWidth="14.43" defaultRowHeight="15" customHeight="1" outlineLevelCol="0"/>
  <cols>
    <col width="24" customWidth="1" style="20" min="1" max="1"/>
    <col width="12" customWidth="1" style="20" min="2" max="10"/>
    <col width="8.710000000000001" customWidth="1" style="20" min="11" max="26"/>
  </cols>
  <sheetData>
    <row r="1">
      <c r="A1" s="13" t="inlineStr">
        <is>
          <t>Summary (auto-calculated from Tracker)</t>
        </is>
      </c>
    </row>
    <row r="3">
      <c r="A3" s="8" t="inlineStr">
        <is>
          <t>Average per day</t>
        </is>
      </c>
    </row>
    <row r="4" ht="30" customHeight="1" s="20">
      <c r="A4" s="14" t="inlineStr">
        <is>
          <t>Month</t>
        </is>
      </c>
      <c r="B4" s="14" t="inlineStr">
        <is>
          <t>Days Logged</t>
        </is>
      </c>
      <c r="C4" s="14" t="inlineStr">
        <is>
          <t>Avg Sleep</t>
        </is>
      </c>
      <c r="D4" s="14" t="inlineStr">
        <is>
          <t>Avg Fitness</t>
        </is>
      </c>
      <c r="E4" s="14" t="inlineStr">
        <is>
          <t>Avg Study</t>
        </is>
      </c>
      <c r="F4" s="14" t="inlineStr">
        <is>
          <t>Avg Coding</t>
        </is>
      </c>
      <c r="G4" s="14" t="inlineStr">
        <is>
          <t>Avg Classes</t>
        </is>
      </c>
      <c r="H4" s="14" t="inlineStr">
        <is>
          <t>Avg Other</t>
        </is>
      </c>
      <c r="I4" s="14" t="inlineStr">
        <is>
          <t>Avg Satisfaction</t>
        </is>
      </c>
      <c r="J4" s="14" t="inlineStr">
        <is>
          <t>Avg Energy</t>
        </is>
      </c>
    </row>
    <row r="5">
      <c r="A5" s="15" t="inlineStr">
        <is>
          <t>August</t>
        </is>
      </c>
      <c r="B5" s="15">
        <f>COUNTIFS(Tracker!$C$9:$C$356,A5)</f>
        <v/>
      </c>
      <c r="C5" s="15">
        <f>IFERROR(ROUND(AVERAGEIFS(Tracker!$D$9:$D$356,Tracker!$C$9:$C$356,$A5),1),0)</f>
        <v/>
      </c>
      <c r="D5" s="15">
        <f>IFERROR(ROUND(AVERAGEIFS(Tracker!$E$9:$E$356,Tracker!$C$9:$C$356,$A5),1),0)</f>
        <v/>
      </c>
      <c r="E5" s="15">
        <f>IFERROR(ROUND(AVERAGEIFS(Tracker!$F$9:$F$356,Tracker!$C$9:$C$356,$A5),1),0)</f>
        <v/>
      </c>
      <c r="F5" s="15">
        <f>IFERROR(ROUND(AVERAGEIFS(Tracker!$G$9:$G$356,Tracker!$C$9:$C$356,$A5),1),0)</f>
        <v/>
      </c>
      <c r="G5" s="15">
        <f>IFERROR(ROUND(AVERAGEIFS(Tracker!$H$9:$H$356,Tracker!$C$9:$C$356,$A5),1),0)</f>
        <v/>
      </c>
      <c r="H5" s="15">
        <f>IFERROR(ROUND(AVERAGEIFS(Tracker!$I$9:$I$356,Tracker!$C$9:$C$356,$A5),1),0)</f>
        <v/>
      </c>
      <c r="I5" s="15">
        <f>IFERROR(ROUND(AVERAGEIFS(Tracker!$J$9:$J$356,Tracker!$C$9:$C$356,$A5),1),0)</f>
        <v/>
      </c>
      <c r="J5" s="15">
        <f>IFERROR(ROUND(AVERAGEIFS(Tracker!$K$9:$K$356,Tracker!$C$9:$C$356,$A5),1),0)</f>
        <v/>
      </c>
    </row>
    <row r="6">
      <c r="A6" s="15" t="inlineStr">
        <is>
          <t>September</t>
        </is>
      </c>
      <c r="B6" s="15">
        <f>COUNTIFS(Tracker!$C$9:$C$356,A6)</f>
        <v/>
      </c>
      <c r="C6" s="15">
        <f>IFERROR(ROUND(AVERAGEIFS(Tracker!$D$9:$D$356,Tracker!$C$9:$C$356,$A6),1),0)</f>
        <v/>
      </c>
      <c r="D6" s="15">
        <f>IFERROR(ROUND(AVERAGEIFS(Tracker!$E$9:$E$356,Tracker!$C$9:$C$356,$A6),1),0)</f>
        <v/>
      </c>
      <c r="E6" s="15">
        <f>IFERROR(ROUND(AVERAGEIFS(Tracker!$F$9:$F$356,Tracker!$C$9:$C$356,$A6),1),0)</f>
        <v/>
      </c>
      <c r="F6" s="15">
        <f>IFERROR(ROUND(AVERAGEIFS(Tracker!$G$9:$G$356,Tracker!$C$9:$C$356,$A6),1),0)</f>
        <v/>
      </c>
      <c r="G6" s="15">
        <f>IFERROR(ROUND(AVERAGEIFS(Tracker!$H$9:$H$356,Tracker!$C$9:$C$356,$A6),1),0)</f>
        <v/>
      </c>
      <c r="H6" s="15">
        <f>IFERROR(ROUND(AVERAGEIFS(Tracker!$I$9:$I$356,Tracker!$C$9:$C$356,$A6),1),0)</f>
        <v/>
      </c>
      <c r="I6" s="15">
        <f>IFERROR(ROUND(AVERAGEIFS(Tracker!$J$9:$J$356,Tracker!$C$9:$C$356,$A6),1),0)</f>
        <v/>
      </c>
      <c r="J6" s="15">
        <f>IFERROR(ROUND(AVERAGEIFS(Tracker!$K$9:$K$356,Tracker!$C$9:$C$356,$A6),1),0)</f>
        <v/>
      </c>
    </row>
    <row r="7">
      <c r="A7" s="15" t="inlineStr">
        <is>
          <t>October</t>
        </is>
      </c>
      <c r="B7" s="15">
        <f>COUNTIFS(Tracker!$C$9:$C$356,A7)</f>
        <v/>
      </c>
      <c r="C7" s="15">
        <f>IFERROR(ROUND(AVERAGEIFS(Tracker!$D$9:$D$356,Tracker!$C$9:$C$356,$A7),1),0)</f>
        <v/>
      </c>
      <c r="D7" s="15">
        <f>IFERROR(ROUND(AVERAGEIFS(Tracker!$E$9:$E$356,Tracker!$C$9:$C$356,$A7),1),0)</f>
        <v/>
      </c>
      <c r="E7" s="15">
        <f>IFERROR(ROUND(AVERAGEIFS(Tracker!$F$9:$F$356,Tracker!$C$9:$C$356,$A7),1),0)</f>
        <v/>
      </c>
      <c r="F7" s="15">
        <f>IFERROR(ROUND(AVERAGEIFS(Tracker!$G$9:$G$356,Tracker!$C$9:$C$356,$A7),1),0)</f>
        <v/>
      </c>
      <c r="G7" s="15">
        <f>IFERROR(ROUND(AVERAGEIFS(Tracker!$H$9:$H$356,Tracker!$C$9:$C$356,$A7),1),0)</f>
        <v/>
      </c>
      <c r="H7" s="15">
        <f>IFERROR(ROUND(AVERAGEIFS(Tracker!$I$9:$I$356,Tracker!$C$9:$C$356,$A7),1),0)</f>
        <v/>
      </c>
      <c r="I7" s="15">
        <f>IFERROR(ROUND(AVERAGEIFS(Tracker!$J$9:$J$356,Tracker!$C$9:$C$356,$A7),1),0)</f>
        <v/>
      </c>
      <c r="J7" s="15">
        <f>IFERROR(ROUND(AVERAGEIFS(Tracker!$K$9:$K$356,Tracker!$C$9:$C$356,$A7),1),0)</f>
        <v/>
      </c>
    </row>
    <row r="8">
      <c r="A8" s="17" t="inlineStr">
        <is>
          <t>Overall</t>
        </is>
      </c>
      <c r="B8" s="17">
        <f>COUNT(Tracker!$A$9:$A$356)</f>
        <v/>
      </c>
      <c r="C8" s="17">
        <f>IFERROR(ROUND(AVERAGE(Tracker!$D$9:$D$356),1),0)</f>
        <v/>
      </c>
      <c r="D8" s="17">
        <f>IFERROR(ROUND(AVERAGE(Tracker!$E$9:$E$356),1),0)</f>
        <v/>
      </c>
      <c r="E8" s="17">
        <f>IFERROR(ROUND(AVERAGE(Tracker!$F$9:$F$356),1),0)</f>
        <v/>
      </c>
      <c r="F8" s="17">
        <f>IFERROR(ROUND(AVERAGE(Tracker!$G$9:$G$356),1),0)</f>
        <v/>
      </c>
      <c r="G8" s="17">
        <f>IFERROR(ROUND(AVERAGE(Tracker!$H$9:$H$356),1),0)</f>
        <v/>
      </c>
      <c r="H8" s="17">
        <f>IFERROR(ROUND(AVERAGE(Tracker!$I$9:$I$356),1),0)</f>
        <v/>
      </c>
      <c r="I8" s="17">
        <f>IFERROR(ROUND(AVERAGE(Tracker!$J$9:$J$356),1),0)</f>
        <v/>
      </c>
      <c r="J8" s="17">
        <f>IFERROR(ROUND(AVERAGE(Tracker!$K$9:$K$356),1),0)</f>
        <v/>
      </c>
    </row>
    <row r="10">
      <c r="A10" s="8" t="inlineStr">
        <is>
          <t>Totals (minutes)</t>
        </is>
      </c>
    </row>
    <row r="11">
      <c r="A11" s="18" t="inlineStr">
        <is>
          <t>Total Coding (hrs)</t>
        </is>
      </c>
      <c r="B11" s="8">
        <f>ROUND(SUM(Tracker!$G$9:$G$356)/60,1)</f>
        <v/>
      </c>
    </row>
    <row r="12">
      <c r="A12" s="18" t="inlineStr">
        <is>
          <t>Total Study (hrs)</t>
        </is>
      </c>
      <c r="B12" s="8">
        <f>ROUND(SUM(Tracker!$F$9:$F$356)/60,1)</f>
        <v/>
      </c>
    </row>
    <row r="13">
      <c r="A13" s="18" t="inlineStr">
        <is>
          <t>Total Fitness (hrs)</t>
        </is>
      </c>
      <c r="B13" s="8">
        <f>ROUND(SUM(Tracker!$E$9:$E$356)/60,1)</f>
        <v/>
      </c>
    </row>
    <row r="14">
      <c r="A14" s="18" t="inlineStr">
        <is>
          <t>Best Satisfaction Day</t>
        </is>
      </c>
      <c r="B14" s="19">
        <f t="array" ref="B14">INDEX(Tracker!$A$9:$A$356,MATCH(MAX(Tracker!$J$9:$J$356),Tracker!$J$9:$J$356,0))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2026-10-03T10:48:42Z</dcterms:created>
  <dcterms:modified xmlns:dcterms="http://purl.org/dc/terms/" xmlns:xsi="http://www.w3.org/2001/XMLSchema-instance" xsi:type="dcterms:W3CDTF">2026-10-03T10:48:52Z</dcterms:modified>
</cp:coreProperties>
</file>